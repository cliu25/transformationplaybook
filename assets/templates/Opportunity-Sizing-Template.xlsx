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48AF5976-F39A-43A9-BF8E-0CAF06E44E34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Instructions" sheetId="1" r:id="rId1"/>
    <sheet name="Lists" sheetId="2" r:id="rId2"/>
    <sheet name="Opportunity Sizing Summary" sheetId="3" r:id="rId3"/>
    <sheet name="Solution Detail" sheetId="4" r:id="rId4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6" i="3" l="1"/>
  <c r="I16" i="3" s="1"/>
  <c r="I15" i="3"/>
  <c r="G15" i="3"/>
  <c r="F15" i="3"/>
  <c r="E15" i="3"/>
  <c r="D15" i="3"/>
  <c r="C15" i="3"/>
  <c r="H15" i="3" s="1"/>
  <c r="I14" i="3"/>
  <c r="G14" i="3"/>
  <c r="F14" i="3"/>
  <c r="E14" i="3"/>
  <c r="D14" i="3"/>
  <c r="C14" i="3"/>
  <c r="H14" i="3" s="1"/>
  <c r="I13" i="3"/>
  <c r="G13" i="3"/>
  <c r="F13" i="3"/>
  <c r="E13" i="3"/>
  <c r="D13" i="3"/>
  <c r="C13" i="3"/>
  <c r="H13" i="3" s="1"/>
  <c r="I12" i="3"/>
  <c r="G12" i="3"/>
  <c r="F12" i="3"/>
  <c r="E12" i="3"/>
  <c r="D12" i="3"/>
  <c r="C12" i="3"/>
  <c r="H12" i="3" s="1"/>
  <c r="I11" i="3"/>
  <c r="G11" i="3"/>
  <c r="F11" i="3"/>
  <c r="E11" i="3"/>
  <c r="D11" i="3"/>
  <c r="C11" i="3"/>
  <c r="H11" i="3" s="1"/>
  <c r="I10" i="3"/>
  <c r="G10" i="3"/>
  <c r="F10" i="3"/>
  <c r="E10" i="3"/>
  <c r="D10" i="3"/>
  <c r="C10" i="3"/>
  <c r="H10" i="3" s="1"/>
  <c r="I9" i="3"/>
  <c r="G9" i="3"/>
  <c r="G16" i="3" s="1"/>
  <c r="F9" i="3"/>
  <c r="F16" i="3" s="1"/>
  <c r="E9" i="3"/>
  <c r="E16" i="3" s="1"/>
  <c r="D9" i="3"/>
  <c r="D16" i="3" s="1"/>
  <c r="C9" i="3"/>
  <c r="G5" i="3"/>
  <c r="F5" i="3"/>
  <c r="E5" i="3"/>
  <c r="D5" i="3"/>
  <c r="C16" i="3" l="1"/>
  <c r="C5" i="3" s="1"/>
  <c r="H9" i="3"/>
  <c r="H16" i="3" s="1"/>
  <c r="C6" i="3" l="1"/>
  <c r="D6" i="3" s="1"/>
  <c r="E6" i="3" s="1"/>
  <c r="F6" i="3" s="1"/>
  <c r="G6" i="3" s="1"/>
  <c r="H6" i="3" s="1"/>
  <c r="H5" i="3"/>
</calcChain>
</file>

<file path=xl/sharedStrings.xml><?xml version="1.0" encoding="utf-8"?>
<sst xmlns="http://schemas.openxmlformats.org/spreadsheetml/2006/main" count="78" uniqueCount="55">
  <si>
    <t>Opportunity Sizing Template</t>
  </si>
  <si>
    <t>A reusable framework for sizing, tracking, and reporting transformation opportunities by focus area and implementation period.</t>
  </si>
  <si>
    <t>How to use this workbook</t>
  </si>
  <si>
    <t>1. Solution Detail tab — log every opportunity/solution you identify. One row per solution.</t>
  </si>
  <si>
    <t xml:space="preserve">     • Focus Area: pick from the dropdown (edit the list on the Lists tab to match your program).</t>
  </si>
  <si>
    <t xml:space="preserve">     • Implementation Period: the period the FTE/value release is expected to land.</t>
  </si>
  <si>
    <t xml:space="preserve">     • Estimated Impact: the sized value (FTEs, $, hours — relabel the column header as needed).</t>
  </si>
  <si>
    <t xml:space="preserve">     • Status: Complete / In Progress / Planned — used for tracking, not calculation.</t>
  </si>
  <si>
    <t>2. Opportunity Sizing Summary tab — auto-rolls up Solution Detail by Focus Area x Period using SUMIFS formulas.</t>
  </si>
  <si>
    <t xml:space="preserve">     • Enter each Focus Area's Baseline (current FTEs/cost) in the yellow input column to auto-calc "% of baseline".</t>
  </si>
  <si>
    <t xml:space="preserve">     • Cumulative release row shows the running total across periods, mirroring an outside-in sizing view.</t>
  </si>
  <si>
    <t>3. Lists tab — edit the Focus Area and Period dropdown source lists here; the dropdowns update automatically.</t>
  </si>
  <si>
    <t>Formatting key</t>
  </si>
  <si>
    <t>Blue text = input cell (edit me)</t>
  </si>
  <si>
    <t>Black text = formula (do not overwrite)</t>
  </si>
  <si>
    <t>Yellow fill = key assumption to confirm</t>
  </si>
  <si>
    <t>Yellow fill example:</t>
  </si>
  <si>
    <t>Focus Areas</t>
  </si>
  <si>
    <t>Implementation Periods</t>
  </si>
  <si>
    <t>Status</t>
  </si>
  <si>
    <t>Consulting</t>
  </si>
  <si>
    <t>Q3 2023</t>
  </si>
  <si>
    <t>Planned</t>
  </si>
  <si>
    <t>Technology Lifecycle Services</t>
  </si>
  <si>
    <t>Q4 2023</t>
  </si>
  <si>
    <t>In Progress</t>
  </si>
  <si>
    <t>Accounts Receivable</t>
  </si>
  <si>
    <t>H1 2024</t>
  </si>
  <si>
    <t>Complete</t>
  </si>
  <si>
    <t>Hardware</t>
  </si>
  <si>
    <t>H2 2024</t>
  </si>
  <si>
    <t>Entitled Software</t>
  </si>
  <si>
    <t>2024+</t>
  </si>
  <si>
    <t>Distributed Software</t>
  </si>
  <si>
    <t>Non-standard Contract Terms</t>
  </si>
  <si>
    <t>Opportunity Sizing Summary</t>
  </si>
  <si>
    <t>Auto-calculated from the Solution Detail tab. Enter Baseline FTEs (yellow) to unlock % of baseline.</t>
  </si>
  <si>
    <t>Potential In-Period Release (Cumulative)</t>
  </si>
  <si>
    <t>Total</t>
  </si>
  <si>
    <t>In-period release</t>
  </si>
  <si>
    <t>Cumulative release</t>
  </si>
  <si>
    <t>Focus Area</t>
  </si>
  <si>
    <t>Baseline (FTEs)</t>
  </si>
  <si>
    <t>% of Baseline</t>
  </si>
  <si>
    <t>Tx Owner</t>
  </si>
  <si>
    <t>Ops Owner</t>
  </si>
  <si>
    <t>Note: Baseline (yellow) is a manual input — enter current FTE/cost baseline per focus area to calculate % of baseline released.</t>
  </si>
  <si>
    <t>Solution Detail — Opportunity Log</t>
  </si>
  <si>
    <t>One row per solution/opportunity. This tab feeds the Opportunity Sizing Summary automatically.</t>
  </si>
  <si>
    <t>Solution ID</t>
  </si>
  <si>
    <t>Solution / Opportunity Description</t>
  </si>
  <si>
    <t>Implementation Period</t>
  </si>
  <si>
    <t>Estimated Impact (FTEs)</t>
  </si>
  <si>
    <t>Strategic Platform (Y/N)</t>
  </si>
  <si>
    <t>Source /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</si>
</sst>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0%;\(0%\);\-"/>
  </numFmts>
  <fonts count="9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9"/>
      <color rgb="FF7F7F7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0070C0"/>
        <bgColor rgb="FF008080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2" borderId="0" xfId="0" applyFill="1"/>
    <xf numFmtId="0" fontId="7" fillId="3" borderId="0" xfId="0" applyFont="1" applyFill="1"/>
    <xf numFmtId="0" fontId="8" fillId="4" borderId="1" xfId="0" applyFont="1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64" fontId="5" fillId="2" borderId="1" xfId="0" applyNumberFormat="1" applyFont="1" applyFill="1" applyBorder="1"/>
    <xf numFmtId="164" fontId="6" fillId="0" borderId="1" xfId="0" applyNumberFormat="1" applyFont="1" applyBorder="1"/>
    <xf numFmtId="165" fontId="6" fillId="0" borderId="1" xfId="0" applyNumberFormat="1" applyFont="1" applyBorder="1"/>
    <xf numFmtId="0" fontId="5" fillId="0" borderId="1" xfId="0" applyFont="1" applyBorder="1" applyAlignment="1">
      <alignment horizontal="center" vertical="center" wrapText="1"/>
    </xf>
    <xf numFmtId="0" fontId="3" fillId="5" borderId="1" xfId="0" applyFont="1" applyFill="1" applyBorder="1"/>
    <xf numFmtId="164" fontId="6" fillId="5" borderId="1" xfId="0" applyNumberFormat="1" applyFont="1" applyFill="1" applyBorder="1"/>
    <xf numFmtId="165" fontId="6" fillId="5" borderId="1" xfId="0" applyNumberFormat="1" applyFont="1" applyFill="1" applyBorder="1"/>
    <xf numFmtId="0" fontId="0" fillId="5" borderId="0" xfId="0" applyFill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showGridLines="0" tabSelected="1" zoomScaleNormal="100" workbookViewId="0"/>
  </sheetViews>
  <sheetFormatPr defaultColWidth="8.7109375" defaultRowHeight="15"/>
  <cols>
    <col min="1" max="1" width="3" customWidth="1"/>
    <col min="2" max="2" width="100" customWidth="1"/>
  </cols>
  <sheetData>
    <row r="2" spans="2:2" ht="19.5" customHeight="1">
      <c r="B2" s="1" t="s">
        <v>0</v>
      </c>
    </row>
    <row r="3" spans="2:2" ht="15" customHeight="1">
      <c r="B3" s="2" t="s">
        <v>1</v>
      </c>
    </row>
    <row r="5" spans="2:2" ht="15" customHeight="1">
      <c r="B5" s="3" t="s">
        <v>2</v>
      </c>
    </row>
    <row r="6" spans="2:2" ht="15" customHeight="1">
      <c r="B6" s="4" t="s">
        <v>3</v>
      </c>
    </row>
    <row r="7" spans="2:2" ht="15" customHeight="1">
      <c r="B7" s="4" t="s">
        <v>4</v>
      </c>
    </row>
    <row r="8" spans="2:2" ht="15" customHeight="1">
      <c r="B8" s="4" t="s">
        <v>5</v>
      </c>
    </row>
    <row r="9" spans="2:2" ht="15" customHeight="1">
      <c r="B9" s="4" t="s">
        <v>6</v>
      </c>
    </row>
    <row r="10" spans="2:2" ht="15" customHeight="1">
      <c r="B10" s="4" t="s">
        <v>7</v>
      </c>
    </row>
    <row r="11" spans="2:2" ht="15" customHeight="1">
      <c r="B11" s="4" t="s">
        <v>8</v>
      </c>
    </row>
    <row r="12" spans="2:2" ht="15" customHeight="1">
      <c r="B12" s="4" t="s">
        <v>9</v>
      </c>
    </row>
    <row r="13" spans="2:2" ht="15" customHeight="1">
      <c r="B13" s="4" t="s">
        <v>10</v>
      </c>
    </row>
    <row r="14" spans="2:2" ht="15" customHeight="1">
      <c r="B14" s="4" t="s">
        <v>11</v>
      </c>
    </row>
    <row r="15" spans="2:2" ht="15" customHeight="1">
      <c r="B15" s="4"/>
    </row>
    <row r="16" spans="2:2" ht="15" customHeight="1">
      <c r="B16" s="3" t="s">
        <v>12</v>
      </c>
    </row>
    <row r="17" spans="2:3" ht="15" customHeight="1">
      <c r="B17" s="5" t="s">
        <v>13</v>
      </c>
    </row>
    <row r="18" spans="2:3" ht="15" customHeight="1">
      <c r="B18" s="6" t="s">
        <v>14</v>
      </c>
    </row>
    <row r="19" spans="2:3" ht="15" customHeight="1">
      <c r="B19" s="4" t="s">
        <v>15</v>
      </c>
    </row>
    <row r="21" spans="2:3" ht="15" customHeight="1">
      <c r="B21" s="4" t="s">
        <v>16</v>
      </c>
      <c r="C21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showGridLines="0" zoomScaleNormal="100" workbookViewId="0"/>
  </sheetViews>
  <sheetFormatPr defaultColWidth="8.7109375" defaultRowHeight="15"/>
  <cols>
    <col min="1" max="1" width="30" customWidth="1"/>
    <col min="2" max="2" width="20" customWidth="1"/>
    <col min="3" max="3" width="16" customWidth="1"/>
  </cols>
  <sheetData>
    <row r="1" spans="1:3" ht="15" customHeight="1">
      <c r="A1" s="8" t="s">
        <v>17</v>
      </c>
      <c r="B1" s="8" t="s">
        <v>18</v>
      </c>
      <c r="C1" s="8" t="s">
        <v>19</v>
      </c>
    </row>
    <row r="2" spans="1:3" ht="15" customHeight="1">
      <c r="A2" s="4" t="s">
        <v>20</v>
      </c>
      <c r="B2" s="4" t="s">
        <v>21</v>
      </c>
      <c r="C2" s="4" t="s">
        <v>22</v>
      </c>
    </row>
    <row r="3" spans="1:3" ht="15" customHeight="1">
      <c r="A3" s="4" t="s">
        <v>23</v>
      </c>
      <c r="B3" s="4" t="s">
        <v>24</v>
      </c>
      <c r="C3" s="4" t="s">
        <v>25</v>
      </c>
    </row>
    <row r="4" spans="1:3" ht="15" customHeight="1">
      <c r="A4" s="4" t="s">
        <v>26</v>
      </c>
      <c r="B4" s="4" t="s">
        <v>27</v>
      </c>
      <c r="C4" s="4" t="s">
        <v>28</v>
      </c>
    </row>
    <row r="5" spans="1:3" ht="15" customHeight="1">
      <c r="A5" s="4" t="s">
        <v>29</v>
      </c>
      <c r="B5" s="4" t="s">
        <v>30</v>
      </c>
    </row>
    <row r="6" spans="1:3" ht="15" customHeight="1">
      <c r="A6" s="4" t="s">
        <v>31</v>
      </c>
      <c r="B6" s="4" t="s">
        <v>32</v>
      </c>
    </row>
    <row r="7" spans="1:3" ht="15" customHeight="1">
      <c r="A7" s="4" t="s">
        <v>33</v>
      </c>
    </row>
    <row r="8" spans="1:3" ht="15" customHeight="1">
      <c r="A8" s="4" t="s">
        <v>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8"/>
  <sheetViews>
    <sheetView showGridLines="0" zoomScaleNormal="100" workbookViewId="0">
      <pane xSplit="2" ySplit="5" topLeftCell="C6" activePane="bottomRight" state="frozen"/>
      <selection pane="bottomRight"/>
      <selection pane="bottomLeft" activeCell="A6" sqref="A6"/>
      <selection pane="topRight" activeCell="C1" sqref="C1"/>
    </sheetView>
  </sheetViews>
  <sheetFormatPr defaultColWidth="8.7109375" defaultRowHeight="15"/>
  <cols>
    <col min="1" max="1" width="26" customWidth="1"/>
    <col min="2" max="2" width="15" customWidth="1"/>
    <col min="3" max="8" width="12" customWidth="1"/>
    <col min="9" max="11" width="14" customWidth="1"/>
  </cols>
  <sheetData>
    <row r="1" spans="1:11" ht="19.5" customHeight="1">
      <c r="A1" s="1" t="s">
        <v>35</v>
      </c>
    </row>
    <row r="2" spans="1:11" ht="15" customHeight="1">
      <c r="A2" s="2" t="s">
        <v>36</v>
      </c>
    </row>
    <row r="4" spans="1:11" ht="15" customHeight="1">
      <c r="A4" s="23" t="s">
        <v>37</v>
      </c>
      <c r="B4" s="23"/>
      <c r="C4" s="9" t="s">
        <v>21</v>
      </c>
      <c r="D4" s="9" t="s">
        <v>24</v>
      </c>
      <c r="E4" s="9" t="s">
        <v>27</v>
      </c>
      <c r="F4" s="9" t="s">
        <v>30</v>
      </c>
      <c r="G4" s="9" t="s">
        <v>32</v>
      </c>
      <c r="H4" s="9" t="s">
        <v>38</v>
      </c>
    </row>
    <row r="5" spans="1:11" ht="15" customHeight="1">
      <c r="A5" s="24" t="s">
        <v>39</v>
      </c>
      <c r="B5" s="24"/>
      <c r="C5" s="10">
        <f>C16</f>
        <v>0</v>
      </c>
      <c r="D5" s="10">
        <f>D16</f>
        <v>0</v>
      </c>
      <c r="E5" s="10">
        <f>E16</f>
        <v>0</v>
      </c>
      <c r="F5" s="10">
        <f>F16</f>
        <v>0</v>
      </c>
      <c r="G5" s="10">
        <f>G16</f>
        <v>0</v>
      </c>
      <c r="H5" s="10">
        <f>SUM(C5:G5)</f>
        <v>0</v>
      </c>
    </row>
    <row r="6" spans="1:11" ht="15" customHeight="1">
      <c r="A6" s="24" t="s">
        <v>40</v>
      </c>
      <c r="B6" s="24"/>
      <c r="C6" s="10">
        <f>C5</f>
        <v>0</v>
      </c>
      <c r="D6" s="10">
        <f>C6+D5</f>
        <v>0</v>
      </c>
      <c r="E6" s="10">
        <f>D6+E5</f>
        <v>0</v>
      </c>
      <c r="F6" s="10">
        <f>E6+F5</f>
        <v>0</v>
      </c>
      <c r="G6" s="10">
        <f>F6+G5</f>
        <v>0</v>
      </c>
      <c r="H6" s="10">
        <f>G6</f>
        <v>0</v>
      </c>
    </row>
    <row r="8" spans="1:11" ht="15" customHeight="1">
      <c r="A8" s="9" t="s">
        <v>41</v>
      </c>
      <c r="B8" s="9" t="s">
        <v>42</v>
      </c>
      <c r="C8" s="9" t="s">
        <v>21</v>
      </c>
      <c r="D8" s="9" t="s">
        <v>24</v>
      </c>
      <c r="E8" s="9" t="s">
        <v>27</v>
      </c>
      <c r="F8" s="9" t="s">
        <v>30</v>
      </c>
      <c r="G8" s="9" t="s">
        <v>32</v>
      </c>
      <c r="H8" s="9" t="s">
        <v>38</v>
      </c>
      <c r="I8" s="9" t="s">
        <v>43</v>
      </c>
      <c r="J8" s="9" t="s">
        <v>44</v>
      </c>
      <c r="K8" s="9" t="s">
        <v>45</v>
      </c>
    </row>
    <row r="9" spans="1:11" ht="15" customHeight="1">
      <c r="A9" s="11" t="s">
        <v>20</v>
      </c>
      <c r="B9" s="12"/>
      <c r="C9" s="13">
        <f>SUMIFS('Solution Detail'!$G$4:$G$60,'Solution Detail'!$B$4:$B$60,$A9,'Solution Detail'!$F$4:$F$60,C$8)</f>
        <v>0</v>
      </c>
      <c r="D9" s="13">
        <f>SUMIFS('Solution Detail'!$G$4:$G$60,'Solution Detail'!$B$4:$B$60,$A9,'Solution Detail'!$F$4:$F$60,D$8)</f>
        <v>0</v>
      </c>
      <c r="E9" s="13">
        <f>SUMIFS('Solution Detail'!$G$4:$G$60,'Solution Detail'!$B$4:$B$60,$A9,'Solution Detail'!$F$4:$F$60,E$8)</f>
        <v>0</v>
      </c>
      <c r="F9" s="13">
        <f>SUMIFS('Solution Detail'!$G$4:$G$60,'Solution Detail'!$B$4:$B$60,$A9,'Solution Detail'!$F$4:$F$60,F$8)</f>
        <v>0</v>
      </c>
      <c r="G9" s="13">
        <f>SUMIFS('Solution Detail'!$G$4:$G$60,'Solution Detail'!$B$4:$B$60,$A9,'Solution Detail'!$F$4:$F$60,G$8)</f>
        <v>0</v>
      </c>
      <c r="H9" s="13">
        <f>SUM(C9:G9)</f>
        <v>0</v>
      </c>
      <c r="I9" s="14" t="str">
        <f>IF($B9=0,"-",H9/$B9)</f>
        <v>-</v>
      </c>
      <c r="J9" s="15"/>
      <c r="K9" s="15"/>
    </row>
    <row r="10" spans="1:11" ht="15" customHeight="1">
      <c r="A10" s="11" t="s">
        <v>23</v>
      </c>
      <c r="B10" s="12"/>
      <c r="C10" s="13">
        <f>SUMIFS('Solution Detail'!$G$4:$G$60,'Solution Detail'!$B$4:$B$60,$A10,'Solution Detail'!$F$4:$F$60,C$8)</f>
        <v>0</v>
      </c>
      <c r="D10" s="13">
        <f>SUMIFS('Solution Detail'!$G$4:$G$60,'Solution Detail'!$B$4:$B$60,$A10,'Solution Detail'!$F$4:$F$60,D$8)</f>
        <v>0</v>
      </c>
      <c r="E10" s="13">
        <f>SUMIFS('Solution Detail'!$G$4:$G$60,'Solution Detail'!$B$4:$B$60,$A10,'Solution Detail'!$F$4:$F$60,E$8)</f>
        <v>0</v>
      </c>
      <c r="F10" s="13">
        <f>SUMIFS('Solution Detail'!$G$4:$G$60,'Solution Detail'!$B$4:$B$60,$A10,'Solution Detail'!$F$4:$F$60,F$8)</f>
        <v>0</v>
      </c>
      <c r="G10" s="13">
        <f>SUMIFS('Solution Detail'!$G$4:$G$60,'Solution Detail'!$B$4:$B$60,$A10,'Solution Detail'!$F$4:$F$60,G$8)</f>
        <v>0</v>
      </c>
      <c r="H10" s="13">
        <f>SUM(C10:G10)</f>
        <v>0</v>
      </c>
      <c r="I10" s="14" t="str">
        <f>IF($B10=0,"-",H10/$B10)</f>
        <v>-</v>
      </c>
      <c r="J10" s="15"/>
      <c r="K10" s="15"/>
    </row>
    <row r="11" spans="1:11" ht="15" customHeight="1">
      <c r="A11" s="11" t="s">
        <v>26</v>
      </c>
      <c r="B11" s="12"/>
      <c r="C11" s="13">
        <f>SUMIFS('Solution Detail'!$G$4:$G$60,'Solution Detail'!$B$4:$B$60,$A11,'Solution Detail'!$F$4:$F$60,C$8)</f>
        <v>0</v>
      </c>
      <c r="D11" s="13">
        <f>SUMIFS('Solution Detail'!$G$4:$G$60,'Solution Detail'!$B$4:$B$60,$A11,'Solution Detail'!$F$4:$F$60,D$8)</f>
        <v>0</v>
      </c>
      <c r="E11" s="13">
        <f>SUMIFS('Solution Detail'!$G$4:$G$60,'Solution Detail'!$B$4:$B$60,$A11,'Solution Detail'!$F$4:$F$60,E$8)</f>
        <v>0</v>
      </c>
      <c r="F11" s="13">
        <f>SUMIFS('Solution Detail'!$G$4:$G$60,'Solution Detail'!$B$4:$B$60,$A11,'Solution Detail'!$F$4:$F$60,F$8)</f>
        <v>0</v>
      </c>
      <c r="G11" s="13">
        <f>SUMIFS('Solution Detail'!$G$4:$G$60,'Solution Detail'!$B$4:$B$60,$A11,'Solution Detail'!$F$4:$F$60,G$8)</f>
        <v>0</v>
      </c>
      <c r="H11" s="13">
        <f>SUM(C11:G11)</f>
        <v>0</v>
      </c>
      <c r="I11" s="14" t="str">
        <f>IF($B11=0,"-",H11/$B11)</f>
        <v>-</v>
      </c>
      <c r="J11" s="15"/>
      <c r="K11" s="15"/>
    </row>
    <row r="12" spans="1:11" ht="15" customHeight="1">
      <c r="A12" s="11" t="s">
        <v>29</v>
      </c>
      <c r="B12" s="12"/>
      <c r="C12" s="13">
        <f>SUMIFS('Solution Detail'!$G$4:$G$60,'Solution Detail'!$B$4:$B$60,$A12,'Solution Detail'!$F$4:$F$60,C$8)</f>
        <v>0</v>
      </c>
      <c r="D12" s="13">
        <f>SUMIFS('Solution Detail'!$G$4:$G$60,'Solution Detail'!$B$4:$B$60,$A12,'Solution Detail'!$F$4:$F$60,D$8)</f>
        <v>0</v>
      </c>
      <c r="E12" s="13">
        <f>SUMIFS('Solution Detail'!$G$4:$G$60,'Solution Detail'!$B$4:$B$60,$A12,'Solution Detail'!$F$4:$F$60,E$8)</f>
        <v>0</v>
      </c>
      <c r="F12" s="13">
        <f>SUMIFS('Solution Detail'!$G$4:$G$60,'Solution Detail'!$B$4:$B$60,$A12,'Solution Detail'!$F$4:$F$60,F$8)</f>
        <v>0</v>
      </c>
      <c r="G12" s="13">
        <f>SUMIFS('Solution Detail'!$G$4:$G$60,'Solution Detail'!$B$4:$B$60,$A12,'Solution Detail'!$F$4:$F$60,G$8)</f>
        <v>0</v>
      </c>
      <c r="H12" s="13">
        <f>SUM(C12:G12)</f>
        <v>0</v>
      </c>
      <c r="I12" s="14" t="str">
        <f>IF($B12=0,"-",H12/$B12)</f>
        <v>-</v>
      </c>
      <c r="J12" s="15"/>
      <c r="K12" s="15"/>
    </row>
    <row r="13" spans="1:11" ht="15" customHeight="1">
      <c r="A13" s="11" t="s">
        <v>31</v>
      </c>
      <c r="B13" s="12"/>
      <c r="C13" s="13">
        <f>SUMIFS('Solution Detail'!$G$4:$G$60,'Solution Detail'!$B$4:$B$60,$A13,'Solution Detail'!$F$4:$F$60,C$8)</f>
        <v>0</v>
      </c>
      <c r="D13" s="13">
        <f>SUMIFS('Solution Detail'!$G$4:$G$60,'Solution Detail'!$B$4:$B$60,$A13,'Solution Detail'!$F$4:$F$60,D$8)</f>
        <v>0</v>
      </c>
      <c r="E13" s="13">
        <f>SUMIFS('Solution Detail'!$G$4:$G$60,'Solution Detail'!$B$4:$B$60,$A13,'Solution Detail'!$F$4:$F$60,E$8)</f>
        <v>0</v>
      </c>
      <c r="F13" s="13">
        <f>SUMIFS('Solution Detail'!$G$4:$G$60,'Solution Detail'!$B$4:$B$60,$A13,'Solution Detail'!$F$4:$F$60,F$8)</f>
        <v>0</v>
      </c>
      <c r="G13" s="13">
        <f>SUMIFS('Solution Detail'!$G$4:$G$60,'Solution Detail'!$B$4:$B$60,$A13,'Solution Detail'!$F$4:$F$60,G$8)</f>
        <v>0</v>
      </c>
      <c r="H13" s="13">
        <f>SUM(C13:G13)</f>
        <v>0</v>
      </c>
      <c r="I13" s="14" t="str">
        <f>IF($B13=0,"-",H13/$B13)</f>
        <v>-</v>
      </c>
      <c r="J13" s="15"/>
      <c r="K13" s="15"/>
    </row>
    <row r="14" spans="1:11" ht="15" customHeight="1">
      <c r="A14" s="11" t="s">
        <v>33</v>
      </c>
      <c r="B14" s="12"/>
      <c r="C14" s="13">
        <f>SUMIFS('Solution Detail'!$G$4:$G$60,'Solution Detail'!$B$4:$B$60,$A14,'Solution Detail'!$F$4:$F$60,C$8)</f>
        <v>0</v>
      </c>
      <c r="D14" s="13">
        <f>SUMIFS('Solution Detail'!$G$4:$G$60,'Solution Detail'!$B$4:$B$60,$A14,'Solution Detail'!$F$4:$F$60,D$8)</f>
        <v>0</v>
      </c>
      <c r="E14" s="13">
        <f>SUMIFS('Solution Detail'!$G$4:$G$60,'Solution Detail'!$B$4:$B$60,$A14,'Solution Detail'!$F$4:$F$60,E$8)</f>
        <v>0</v>
      </c>
      <c r="F14" s="13">
        <f>SUMIFS('Solution Detail'!$G$4:$G$60,'Solution Detail'!$B$4:$B$60,$A14,'Solution Detail'!$F$4:$F$60,F$8)</f>
        <v>0</v>
      </c>
      <c r="G14" s="13">
        <f>SUMIFS('Solution Detail'!$G$4:$G$60,'Solution Detail'!$B$4:$B$60,$A14,'Solution Detail'!$F$4:$F$60,G$8)</f>
        <v>0</v>
      </c>
      <c r="H14" s="13">
        <f>SUM(C14:G14)</f>
        <v>0</v>
      </c>
      <c r="I14" s="14" t="str">
        <f>IF($B14=0,"-",H14/$B14)</f>
        <v>-</v>
      </c>
      <c r="J14" s="15"/>
      <c r="K14" s="15"/>
    </row>
    <row r="15" spans="1:11" ht="15" customHeight="1">
      <c r="A15" s="11" t="s">
        <v>34</v>
      </c>
      <c r="B15" s="12"/>
      <c r="C15" s="13">
        <f>SUMIFS('Solution Detail'!$G$4:$G$60,'Solution Detail'!$B$4:$B$60,$A15,'Solution Detail'!$F$4:$F$60,C$8)</f>
        <v>0</v>
      </c>
      <c r="D15" s="13">
        <f>SUMIFS('Solution Detail'!$G$4:$G$60,'Solution Detail'!$B$4:$B$60,$A15,'Solution Detail'!$F$4:$F$60,D$8)</f>
        <v>0</v>
      </c>
      <c r="E15" s="13">
        <f>SUMIFS('Solution Detail'!$G$4:$G$60,'Solution Detail'!$B$4:$B$60,$A15,'Solution Detail'!$F$4:$F$60,E$8)</f>
        <v>0</v>
      </c>
      <c r="F15" s="13">
        <f>SUMIFS('Solution Detail'!$G$4:$G$60,'Solution Detail'!$B$4:$B$60,$A15,'Solution Detail'!$F$4:$F$60,F$8)</f>
        <v>0</v>
      </c>
      <c r="G15" s="13">
        <f>SUMIFS('Solution Detail'!$G$4:$G$60,'Solution Detail'!$B$4:$B$60,$A15,'Solution Detail'!$F$4:$F$60,G$8)</f>
        <v>0</v>
      </c>
      <c r="H15" s="13">
        <f>SUM(C15:G15)</f>
        <v>0</v>
      </c>
      <c r="I15" s="14" t="str">
        <f>IF($B15=0,"-",H15/$B15)</f>
        <v>-</v>
      </c>
      <c r="J15" s="15"/>
      <c r="K15" s="15"/>
    </row>
    <row r="16" spans="1:11" ht="15" customHeight="1">
      <c r="A16" s="16" t="s">
        <v>38</v>
      </c>
      <c r="B16" s="17">
        <f>SUM(B9:B15)</f>
        <v>0</v>
      </c>
      <c r="C16" s="17">
        <f>SUM(C9:C15)</f>
        <v>0</v>
      </c>
      <c r="D16" s="17">
        <f>SUM(D9:D15)</f>
        <v>0</v>
      </c>
      <c r="E16" s="17">
        <f>SUM(E9:E15)</f>
        <v>0</v>
      </c>
      <c r="F16" s="17">
        <f>SUM(F9:F15)</f>
        <v>0</v>
      </c>
      <c r="G16" s="17">
        <f>SUM(G9:G15)</f>
        <v>0</v>
      </c>
      <c r="H16" s="17">
        <f>SUM(H9:H15)</f>
        <v>0</v>
      </c>
      <c r="I16" s="18" t="str">
        <f>IF(B16=0,"-",H16/B16)</f>
        <v>-</v>
      </c>
      <c r="J16" s="19"/>
      <c r="K16" s="19"/>
    </row>
    <row r="18" spans="1:1" ht="15" customHeight="1">
      <c r="A18" s="2" t="s">
        <v>46</v>
      </c>
    </row>
  </sheetData>
  <mergeCells count="3">
    <mergeCell ref="A4:B4"/>
    <mergeCell ref="A5:B5"/>
    <mergeCell ref="A6:B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0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2" customWidth="1"/>
    <col min="2" max="2" width="24" customWidth="1"/>
    <col min="3" max="3" width="42" customWidth="1"/>
    <col min="4" max="5" width="14" customWidth="1"/>
    <col min="6" max="6" width="18" customWidth="1"/>
    <col min="7" max="7" width="16" customWidth="1"/>
    <col min="8" max="8" width="12" customWidth="1"/>
    <col min="9" max="9" width="16" customWidth="1"/>
    <col min="10" max="10" width="30" customWidth="1"/>
  </cols>
  <sheetData>
    <row r="1" spans="1:10" ht="19.5" customHeight="1">
      <c r="A1" s="1" t="s">
        <v>47</v>
      </c>
    </row>
    <row r="2" spans="1:10" ht="15" customHeight="1">
      <c r="A2" s="2" t="s">
        <v>48</v>
      </c>
    </row>
    <row r="3" spans="1:10" ht="23.25" customHeight="1">
      <c r="A3" s="9" t="s">
        <v>49</v>
      </c>
      <c r="B3" s="9" t="s">
        <v>41</v>
      </c>
      <c r="C3" s="9" t="s">
        <v>50</v>
      </c>
      <c r="D3" s="9" t="s">
        <v>44</v>
      </c>
      <c r="E3" s="9" t="s">
        <v>45</v>
      </c>
      <c r="F3" s="9" t="s">
        <v>51</v>
      </c>
      <c r="G3" s="9" t="s">
        <v>52</v>
      </c>
      <c r="H3" s="9" t="s">
        <v>19</v>
      </c>
      <c r="I3" s="9" t="s">
        <v>53</v>
      </c>
      <c r="J3" s="9" t="s">
        <v>54</v>
      </c>
    </row>
    <row r="4" spans="1:10" ht="23.25" customHeight="1">
      <c r="A4" s="15"/>
      <c r="B4" s="20"/>
      <c r="C4" s="21"/>
      <c r="D4" s="15"/>
      <c r="E4" s="15"/>
      <c r="F4" s="20"/>
      <c r="G4" s="22"/>
      <c r="H4" s="20"/>
      <c r="I4" s="20"/>
      <c r="J4" s="21"/>
    </row>
    <row r="5" spans="1:10" ht="23.25" customHeight="1">
      <c r="A5" s="15"/>
      <c r="B5" s="20"/>
      <c r="C5" s="21"/>
      <c r="D5" s="15"/>
      <c r="E5" s="15"/>
      <c r="F5" s="20"/>
      <c r="G5" s="22"/>
      <c r="H5" s="20"/>
      <c r="I5" s="20"/>
      <c r="J5" s="21"/>
    </row>
    <row r="6" spans="1:10" ht="23.25" customHeight="1">
      <c r="A6" s="15"/>
      <c r="B6" s="20"/>
      <c r="C6" s="21"/>
      <c r="D6" s="15"/>
      <c r="E6" s="15"/>
      <c r="F6" s="20"/>
      <c r="G6" s="22"/>
      <c r="H6" s="20"/>
      <c r="I6" s="20"/>
      <c r="J6" s="21"/>
    </row>
    <row r="7" spans="1:10" ht="15" customHeight="1">
      <c r="A7" s="15"/>
      <c r="B7" s="15"/>
      <c r="C7" s="21"/>
      <c r="D7" s="15"/>
      <c r="E7" s="15"/>
      <c r="F7" s="15"/>
      <c r="G7" s="22"/>
      <c r="H7" s="15"/>
      <c r="I7" s="15"/>
      <c r="J7" s="21"/>
    </row>
    <row r="8" spans="1:10" ht="15" customHeight="1">
      <c r="A8" s="15"/>
      <c r="B8" s="15"/>
      <c r="C8" s="21"/>
      <c r="D8" s="15"/>
      <c r="E8" s="15"/>
      <c r="F8" s="15"/>
      <c r="G8" s="22"/>
      <c r="H8" s="15"/>
      <c r="I8" s="15"/>
      <c r="J8" s="21"/>
    </row>
    <row r="9" spans="1:10" ht="15" customHeight="1">
      <c r="A9" s="15"/>
      <c r="B9" s="15"/>
      <c r="C9" s="21"/>
      <c r="D9" s="15"/>
      <c r="E9" s="15"/>
      <c r="F9" s="15"/>
      <c r="G9" s="22"/>
      <c r="H9" s="15"/>
      <c r="I9" s="15"/>
      <c r="J9" s="21"/>
    </row>
    <row r="10" spans="1:10" ht="15" customHeight="1">
      <c r="A10" s="15"/>
      <c r="B10" s="15"/>
      <c r="C10" s="21"/>
      <c r="D10" s="15"/>
      <c r="E10" s="15"/>
      <c r="F10" s="15"/>
      <c r="G10" s="22"/>
      <c r="H10" s="15"/>
      <c r="I10" s="15"/>
      <c r="J10" s="21"/>
    </row>
    <row r="11" spans="1:10" ht="15" customHeight="1">
      <c r="A11" s="15"/>
      <c r="B11" s="15"/>
      <c r="C11" s="21"/>
      <c r="D11" s="15"/>
      <c r="E11" s="15"/>
      <c r="F11" s="15"/>
      <c r="G11" s="22"/>
      <c r="H11" s="15"/>
      <c r="I11" s="15"/>
      <c r="J11" s="21"/>
    </row>
    <row r="12" spans="1:10" ht="15" customHeight="1">
      <c r="A12" s="15"/>
      <c r="B12" s="15"/>
      <c r="C12" s="21"/>
      <c r="D12" s="15"/>
      <c r="E12" s="15"/>
      <c r="F12" s="15"/>
      <c r="G12" s="22"/>
      <c r="H12" s="15"/>
      <c r="I12" s="15"/>
      <c r="J12" s="21"/>
    </row>
    <row r="13" spans="1:10" ht="15" customHeight="1">
      <c r="A13" s="15"/>
      <c r="B13" s="15"/>
      <c r="C13" s="21"/>
      <c r="D13" s="15"/>
      <c r="E13" s="15"/>
      <c r="F13" s="15"/>
      <c r="G13" s="22"/>
      <c r="H13" s="15"/>
      <c r="I13" s="15"/>
      <c r="J13" s="21"/>
    </row>
    <row r="14" spans="1:10" ht="15" customHeight="1">
      <c r="A14" s="15"/>
      <c r="B14" s="15"/>
      <c r="C14" s="21"/>
      <c r="D14" s="15"/>
      <c r="E14" s="15"/>
      <c r="F14" s="15"/>
      <c r="G14" s="22"/>
      <c r="H14" s="15"/>
      <c r="I14" s="15"/>
      <c r="J14" s="21"/>
    </row>
    <row r="15" spans="1:10" ht="15" customHeight="1">
      <c r="A15" s="15"/>
      <c r="B15" s="15"/>
      <c r="C15" s="21"/>
      <c r="D15" s="15"/>
      <c r="E15" s="15"/>
      <c r="F15" s="15"/>
      <c r="G15" s="22"/>
      <c r="H15" s="15"/>
      <c r="I15" s="15"/>
      <c r="J15" s="21"/>
    </row>
    <row r="16" spans="1:10" ht="15" customHeight="1">
      <c r="A16" s="15"/>
      <c r="B16" s="15"/>
      <c r="C16" s="21"/>
      <c r="D16" s="15"/>
      <c r="E16" s="15"/>
      <c r="F16" s="15"/>
      <c r="G16" s="22"/>
      <c r="H16" s="15"/>
      <c r="I16" s="15"/>
      <c r="J16" s="21"/>
    </row>
    <row r="17" spans="1:10" ht="15" customHeight="1">
      <c r="A17" s="15"/>
      <c r="B17" s="15"/>
      <c r="C17" s="21"/>
      <c r="D17" s="15"/>
      <c r="E17" s="15"/>
      <c r="F17" s="15"/>
      <c r="G17" s="22"/>
      <c r="H17" s="15"/>
      <c r="I17" s="15"/>
      <c r="J17" s="21"/>
    </row>
    <row r="18" spans="1:10" ht="15" customHeight="1">
      <c r="A18" s="15"/>
      <c r="B18" s="15"/>
      <c r="C18" s="21"/>
      <c r="D18" s="15"/>
      <c r="E18" s="15"/>
      <c r="F18" s="15"/>
      <c r="G18" s="22"/>
      <c r="H18" s="15"/>
      <c r="I18" s="15"/>
      <c r="J18" s="21"/>
    </row>
    <row r="19" spans="1:10" ht="15" customHeight="1">
      <c r="A19" s="15"/>
      <c r="B19" s="15"/>
      <c r="C19" s="21"/>
      <c r="D19" s="15"/>
      <c r="E19" s="15"/>
      <c r="F19" s="15"/>
      <c r="G19" s="22"/>
      <c r="H19" s="15"/>
      <c r="I19" s="15"/>
      <c r="J19" s="21"/>
    </row>
    <row r="20" spans="1:10" ht="15" customHeight="1">
      <c r="A20" s="15"/>
      <c r="B20" s="15"/>
      <c r="C20" s="21"/>
      <c r="D20" s="15"/>
      <c r="E20" s="15"/>
      <c r="F20" s="15"/>
      <c r="G20" s="22"/>
      <c r="H20" s="15"/>
      <c r="I20" s="15"/>
      <c r="J20" s="21"/>
    </row>
    <row r="21" spans="1:10" ht="15" customHeight="1">
      <c r="A21" s="15"/>
      <c r="B21" s="15"/>
      <c r="C21" s="21"/>
      <c r="D21" s="15"/>
      <c r="E21" s="15"/>
      <c r="F21" s="15"/>
      <c r="G21" s="22"/>
      <c r="H21" s="15"/>
      <c r="I21" s="15"/>
      <c r="J21" s="21"/>
    </row>
    <row r="22" spans="1:10" ht="15" customHeight="1">
      <c r="A22" s="15"/>
      <c r="B22" s="15"/>
      <c r="C22" s="21"/>
      <c r="D22" s="15"/>
      <c r="E22" s="15"/>
      <c r="F22" s="15"/>
      <c r="G22" s="22"/>
      <c r="H22" s="15"/>
      <c r="I22" s="15"/>
      <c r="J22" s="21"/>
    </row>
    <row r="23" spans="1:10" ht="15" customHeight="1">
      <c r="A23" s="15"/>
      <c r="B23" s="15"/>
      <c r="C23" s="21"/>
      <c r="D23" s="15"/>
      <c r="E23" s="15"/>
      <c r="F23" s="15"/>
      <c r="G23" s="22"/>
      <c r="H23" s="15"/>
      <c r="I23" s="15"/>
      <c r="J23" s="21"/>
    </row>
    <row r="24" spans="1:10" ht="15" customHeight="1">
      <c r="A24" s="15"/>
      <c r="B24" s="15"/>
      <c r="C24" s="21"/>
      <c r="D24" s="15"/>
      <c r="E24" s="15"/>
      <c r="F24" s="15"/>
      <c r="G24" s="22"/>
      <c r="H24" s="15"/>
      <c r="I24" s="15"/>
      <c r="J24" s="21"/>
    </row>
    <row r="25" spans="1:10" ht="15" customHeight="1">
      <c r="A25" s="15"/>
      <c r="B25" s="15"/>
      <c r="C25" s="21"/>
      <c r="D25" s="15"/>
      <c r="E25" s="15"/>
      <c r="F25" s="15"/>
      <c r="G25" s="22"/>
      <c r="H25" s="15"/>
      <c r="I25" s="15"/>
      <c r="J25" s="21"/>
    </row>
    <row r="26" spans="1:10" ht="15" customHeight="1">
      <c r="A26" s="15"/>
      <c r="B26" s="15"/>
      <c r="C26" s="21"/>
      <c r="D26" s="15"/>
      <c r="E26" s="15"/>
      <c r="F26" s="15"/>
      <c r="G26" s="22"/>
      <c r="H26" s="15"/>
      <c r="I26" s="15"/>
      <c r="J26" s="21"/>
    </row>
    <row r="27" spans="1:10" ht="15" customHeight="1">
      <c r="A27" s="15"/>
      <c r="B27" s="15"/>
      <c r="C27" s="21"/>
      <c r="D27" s="15"/>
      <c r="E27" s="15"/>
      <c r="F27" s="15"/>
      <c r="G27" s="22"/>
      <c r="H27" s="15"/>
      <c r="I27" s="15"/>
      <c r="J27" s="21"/>
    </row>
    <row r="28" spans="1:10" ht="15" customHeight="1">
      <c r="A28" s="15"/>
      <c r="B28" s="15"/>
      <c r="C28" s="21"/>
      <c r="D28" s="15"/>
      <c r="E28" s="15"/>
      <c r="F28" s="15"/>
      <c r="G28" s="22"/>
      <c r="H28" s="15"/>
      <c r="I28" s="15"/>
      <c r="J28" s="21"/>
    </row>
    <row r="29" spans="1:10" ht="15" customHeight="1">
      <c r="A29" s="15"/>
      <c r="B29" s="15"/>
      <c r="C29" s="21"/>
      <c r="D29" s="15"/>
      <c r="E29" s="15"/>
      <c r="F29" s="15"/>
      <c r="G29" s="22"/>
      <c r="H29" s="15"/>
      <c r="I29" s="15"/>
      <c r="J29" s="21"/>
    </row>
    <row r="30" spans="1:10" ht="15" customHeight="1">
      <c r="A30" s="15"/>
      <c r="B30" s="15"/>
      <c r="C30" s="21"/>
      <c r="D30" s="15"/>
      <c r="E30" s="15"/>
      <c r="F30" s="15"/>
      <c r="G30" s="22"/>
      <c r="H30" s="15"/>
      <c r="I30" s="15"/>
      <c r="J30" s="21"/>
    </row>
    <row r="31" spans="1:10" ht="15" customHeight="1">
      <c r="A31" s="15"/>
      <c r="B31" s="15"/>
      <c r="C31" s="21"/>
      <c r="D31" s="15"/>
      <c r="E31" s="15"/>
      <c r="F31" s="15"/>
      <c r="G31" s="22"/>
      <c r="H31" s="15"/>
      <c r="I31" s="15"/>
      <c r="J31" s="21"/>
    </row>
    <row r="32" spans="1:10" ht="15" customHeight="1">
      <c r="A32" s="15"/>
      <c r="B32" s="15"/>
      <c r="C32" s="21"/>
      <c r="D32" s="15"/>
      <c r="E32" s="15"/>
      <c r="F32" s="15"/>
      <c r="G32" s="22"/>
      <c r="H32" s="15"/>
      <c r="I32" s="15"/>
      <c r="J32" s="21"/>
    </row>
    <row r="33" spans="1:10" ht="15" customHeight="1">
      <c r="A33" s="15"/>
      <c r="B33" s="15"/>
      <c r="C33" s="21"/>
      <c r="D33" s="15"/>
      <c r="E33" s="15"/>
      <c r="F33" s="15"/>
      <c r="G33" s="22"/>
      <c r="H33" s="15"/>
      <c r="I33" s="15"/>
      <c r="J33" s="21"/>
    </row>
    <row r="34" spans="1:10" ht="15" customHeight="1">
      <c r="A34" s="15"/>
      <c r="B34" s="15"/>
      <c r="C34" s="21"/>
      <c r="D34" s="15"/>
      <c r="E34" s="15"/>
      <c r="F34" s="15"/>
      <c r="G34" s="22"/>
      <c r="H34" s="15"/>
      <c r="I34" s="15"/>
      <c r="J34" s="21"/>
    </row>
    <row r="35" spans="1:10" ht="15" customHeight="1">
      <c r="A35" s="15"/>
      <c r="B35" s="15"/>
      <c r="C35" s="21"/>
      <c r="D35" s="15"/>
      <c r="E35" s="15"/>
      <c r="F35" s="15"/>
      <c r="G35" s="22"/>
      <c r="H35" s="15"/>
      <c r="I35" s="15"/>
      <c r="J35" s="21"/>
    </row>
    <row r="36" spans="1:10" ht="15" customHeight="1">
      <c r="A36" s="15"/>
      <c r="B36" s="15"/>
      <c r="C36" s="21"/>
      <c r="D36" s="15"/>
      <c r="E36" s="15"/>
      <c r="F36" s="15"/>
      <c r="G36" s="22"/>
      <c r="H36" s="15"/>
      <c r="I36" s="15"/>
      <c r="J36" s="21"/>
    </row>
    <row r="37" spans="1:10" ht="15" customHeight="1">
      <c r="A37" s="15"/>
      <c r="B37" s="15"/>
      <c r="C37" s="21"/>
      <c r="D37" s="15"/>
      <c r="E37" s="15"/>
      <c r="F37" s="15"/>
      <c r="G37" s="22"/>
      <c r="H37" s="15"/>
      <c r="I37" s="15"/>
      <c r="J37" s="21"/>
    </row>
    <row r="38" spans="1:10" ht="15" customHeight="1">
      <c r="A38" s="15"/>
      <c r="B38" s="15"/>
      <c r="C38" s="21"/>
      <c r="D38" s="15"/>
      <c r="E38" s="15"/>
      <c r="F38" s="15"/>
      <c r="G38" s="22"/>
      <c r="H38" s="15"/>
      <c r="I38" s="15"/>
      <c r="J38" s="21"/>
    </row>
    <row r="39" spans="1:10" ht="15" customHeight="1">
      <c r="A39" s="15"/>
      <c r="B39" s="15"/>
      <c r="C39" s="21"/>
      <c r="D39" s="15"/>
      <c r="E39" s="15"/>
      <c r="F39" s="15"/>
      <c r="G39" s="22"/>
      <c r="H39" s="15"/>
      <c r="I39" s="15"/>
      <c r="J39" s="21"/>
    </row>
    <row r="40" spans="1:10" ht="15" customHeight="1">
      <c r="A40" s="15"/>
      <c r="B40" s="15"/>
      <c r="C40" s="21"/>
      <c r="D40" s="15"/>
      <c r="E40" s="15"/>
      <c r="F40" s="15"/>
      <c r="G40" s="22"/>
      <c r="H40" s="15"/>
      <c r="I40" s="15"/>
      <c r="J40" s="21"/>
    </row>
    <row r="41" spans="1:10" ht="15" customHeight="1">
      <c r="A41" s="15"/>
      <c r="B41" s="15"/>
      <c r="C41" s="21"/>
      <c r="D41" s="15"/>
      <c r="E41" s="15"/>
      <c r="F41" s="15"/>
      <c r="G41" s="22"/>
      <c r="H41" s="15"/>
      <c r="I41" s="15"/>
      <c r="J41" s="21"/>
    </row>
    <row r="42" spans="1:10" ht="15" customHeight="1">
      <c r="A42" s="15"/>
      <c r="B42" s="15"/>
      <c r="C42" s="21"/>
      <c r="D42" s="15"/>
      <c r="E42" s="15"/>
      <c r="F42" s="15"/>
      <c r="G42" s="22"/>
      <c r="H42" s="15"/>
      <c r="I42" s="15"/>
      <c r="J42" s="21"/>
    </row>
    <row r="43" spans="1:10" ht="15" customHeight="1">
      <c r="A43" s="15"/>
      <c r="B43" s="15"/>
      <c r="C43" s="21"/>
      <c r="D43" s="15"/>
      <c r="E43" s="15"/>
      <c r="F43" s="15"/>
      <c r="G43" s="22"/>
      <c r="H43" s="15"/>
      <c r="I43" s="15"/>
      <c r="J43" s="21"/>
    </row>
    <row r="44" spans="1:10" ht="15" customHeight="1">
      <c r="A44" s="15"/>
      <c r="B44" s="15"/>
      <c r="C44" s="21"/>
      <c r="D44" s="15"/>
      <c r="E44" s="15"/>
      <c r="F44" s="15"/>
      <c r="G44" s="22"/>
      <c r="H44" s="15"/>
      <c r="I44" s="15"/>
      <c r="J44" s="21"/>
    </row>
    <row r="45" spans="1:10" ht="15" customHeight="1">
      <c r="A45" s="15"/>
      <c r="B45" s="15"/>
      <c r="C45" s="21"/>
      <c r="D45" s="15"/>
      <c r="E45" s="15"/>
      <c r="F45" s="15"/>
      <c r="G45" s="22"/>
      <c r="H45" s="15"/>
      <c r="I45" s="15"/>
      <c r="J45" s="21"/>
    </row>
    <row r="46" spans="1:10" ht="15" customHeight="1">
      <c r="A46" s="15"/>
      <c r="B46" s="15"/>
      <c r="C46" s="21"/>
      <c r="D46" s="15"/>
      <c r="E46" s="15"/>
      <c r="F46" s="15"/>
      <c r="G46" s="22"/>
      <c r="H46" s="15"/>
      <c r="I46" s="15"/>
      <c r="J46" s="21"/>
    </row>
    <row r="47" spans="1:10" ht="15" customHeight="1">
      <c r="A47" s="15"/>
      <c r="B47" s="15"/>
      <c r="C47" s="21"/>
      <c r="D47" s="15"/>
      <c r="E47" s="15"/>
      <c r="F47" s="15"/>
      <c r="G47" s="22"/>
      <c r="H47" s="15"/>
      <c r="I47" s="15"/>
      <c r="J47" s="21"/>
    </row>
    <row r="48" spans="1:10" ht="15" customHeight="1">
      <c r="A48" s="15"/>
      <c r="B48" s="15"/>
      <c r="C48" s="21"/>
      <c r="D48" s="15"/>
      <c r="E48" s="15"/>
      <c r="F48" s="15"/>
      <c r="G48" s="22"/>
      <c r="H48" s="15"/>
      <c r="I48" s="15"/>
      <c r="J48" s="21"/>
    </row>
    <row r="49" spans="1:10" ht="15" customHeight="1">
      <c r="A49" s="15"/>
      <c r="B49" s="15"/>
      <c r="C49" s="21"/>
      <c r="D49" s="15"/>
      <c r="E49" s="15"/>
      <c r="F49" s="15"/>
      <c r="G49" s="22"/>
      <c r="H49" s="15"/>
      <c r="I49" s="15"/>
      <c r="J49" s="21"/>
    </row>
    <row r="50" spans="1:10" ht="15" customHeight="1">
      <c r="A50" s="15"/>
      <c r="B50" s="15"/>
      <c r="C50" s="21"/>
      <c r="D50" s="15"/>
      <c r="E50" s="15"/>
      <c r="F50" s="15"/>
      <c r="G50" s="22"/>
      <c r="H50" s="15"/>
      <c r="I50" s="15"/>
      <c r="J50" s="21"/>
    </row>
    <row r="51" spans="1:10" ht="15" customHeight="1">
      <c r="A51" s="15"/>
      <c r="B51" s="15"/>
      <c r="C51" s="21"/>
      <c r="D51" s="15"/>
      <c r="E51" s="15"/>
      <c r="F51" s="15"/>
      <c r="G51" s="22"/>
      <c r="H51" s="15"/>
      <c r="I51" s="15"/>
      <c r="J51" s="21"/>
    </row>
    <row r="52" spans="1:10" ht="15" customHeight="1">
      <c r="A52" s="15"/>
      <c r="B52" s="15"/>
      <c r="C52" s="21"/>
      <c r="D52" s="15"/>
      <c r="E52" s="15"/>
      <c r="F52" s="15"/>
      <c r="G52" s="22"/>
      <c r="H52" s="15"/>
      <c r="I52" s="15"/>
      <c r="J52" s="21"/>
    </row>
    <row r="53" spans="1:10" ht="15" customHeight="1">
      <c r="A53" s="15"/>
      <c r="B53" s="15"/>
      <c r="C53" s="21"/>
      <c r="D53" s="15"/>
      <c r="E53" s="15"/>
      <c r="F53" s="15"/>
      <c r="G53" s="22"/>
      <c r="H53" s="15"/>
      <c r="I53" s="15"/>
      <c r="J53" s="21"/>
    </row>
    <row r="54" spans="1:10" ht="15" customHeight="1">
      <c r="A54" s="15"/>
      <c r="B54" s="15"/>
      <c r="C54" s="21"/>
      <c r="D54" s="15"/>
      <c r="E54" s="15"/>
      <c r="F54" s="15"/>
      <c r="G54" s="22"/>
      <c r="H54" s="15"/>
      <c r="I54" s="15"/>
      <c r="J54" s="21"/>
    </row>
    <row r="55" spans="1:10" ht="15" customHeight="1">
      <c r="A55" s="15"/>
      <c r="B55" s="15"/>
      <c r="C55" s="21"/>
      <c r="D55" s="15"/>
      <c r="E55" s="15"/>
      <c r="F55" s="15"/>
      <c r="G55" s="22"/>
      <c r="H55" s="15"/>
      <c r="I55" s="15"/>
      <c r="J55" s="21"/>
    </row>
    <row r="56" spans="1:10" ht="15" customHeight="1">
      <c r="A56" s="15"/>
      <c r="B56" s="15"/>
      <c r="C56" s="21"/>
      <c r="D56" s="15"/>
      <c r="E56" s="15"/>
      <c r="F56" s="15"/>
      <c r="G56" s="22"/>
      <c r="H56" s="15"/>
      <c r="I56" s="15"/>
      <c r="J56" s="21"/>
    </row>
    <row r="57" spans="1:10" ht="15" customHeight="1">
      <c r="A57" s="15"/>
      <c r="B57" s="15"/>
      <c r="C57" s="21"/>
      <c r="D57" s="15"/>
      <c r="E57" s="15"/>
      <c r="F57" s="15"/>
      <c r="G57" s="22"/>
      <c r="H57" s="15"/>
      <c r="I57" s="15"/>
      <c r="J57" s="21"/>
    </row>
    <row r="58" spans="1:10" ht="15" customHeight="1">
      <c r="A58" s="15"/>
      <c r="B58" s="15"/>
      <c r="C58" s="21"/>
      <c r="D58" s="15"/>
      <c r="E58" s="15"/>
      <c r="F58" s="15"/>
      <c r="G58" s="22"/>
      <c r="H58" s="15"/>
      <c r="I58" s="15"/>
      <c r="J58" s="21"/>
    </row>
    <row r="59" spans="1:10" ht="15" customHeight="1">
      <c r="A59" s="15"/>
      <c r="B59" s="15"/>
      <c r="C59" s="21"/>
      <c r="D59" s="15"/>
      <c r="E59" s="15"/>
      <c r="F59" s="15"/>
      <c r="G59" s="22"/>
      <c r="H59" s="15"/>
      <c r="I59" s="15"/>
      <c r="J59" s="21"/>
    </row>
    <row r="60" spans="1:10" ht="15" customHeight="1">
      <c r="A60" s="15"/>
      <c r="B60" s="15"/>
      <c r="C60" s="21"/>
      <c r="D60" s="15"/>
      <c r="E60" s="15"/>
      <c r="F60" s="15"/>
      <c r="G60" s="22"/>
      <c r="H60" s="15"/>
      <c r="I60" s="15"/>
      <c r="J60" s="21"/>
    </row>
  </sheetData>
  <dataValidations count="1">
    <dataValidation type="list" allowBlank="1" sqref="I4:I60" xr:uid="{00000000-0002-0000-0300-000003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300-000000000000}">
          <x14:formula1>
            <xm:f>Lists!$A$2:$A$8</xm:f>
          </x14:formula1>
          <x14:formula2>
            <xm:f>0</xm:f>
          </x14:formula2>
          <xm:sqref>B4:B60</xm:sqref>
        </x14:dataValidation>
        <x14:dataValidation type="list" allowBlank="1" xr:uid="{00000000-0002-0000-0300-000001000000}">
          <x14:formula1>
            <xm:f>Lists!$B$2:$B$6</xm:f>
          </x14:formula1>
          <x14:formula2>
            <xm:f>0</xm:f>
          </x14:formula2>
          <xm:sqref>F4:F60</xm:sqref>
        </x14:dataValidation>
        <x14:dataValidation type="list" allowBlank="1" xr:uid="{00000000-0002-0000-0300-000002000000}">
          <x14:formula1>
            <xm:f>Lists!$C$2:$C$4</xm:f>
          </x14:formula1>
          <x14:formula2>
            <xm:f>0</xm:f>
          </x14:formula2>
          <xm:sqref>H4:H60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922E2066466747B06F5A2CB1EF004C" ma:contentTypeVersion="12" ma:contentTypeDescription="Create a new document." ma:contentTypeScope="" ma:versionID="031a2767ff50ac2aeb7997cb1dfed522">
  <xsd:schema xmlns:xsd="http://www.w3.org/2001/XMLSchema" xmlns:xs="http://www.w3.org/2001/XMLSchema" xmlns:p="http://schemas.microsoft.com/office/2006/metadata/properties" xmlns:ns2="e7e42320-c381-4d5c-a06d-fb941b9287c9" xmlns:ns3="e4cee1ae-901f-403b-af36-81ae1c6bd840" targetNamespace="http://schemas.microsoft.com/office/2006/metadata/properties" ma:root="true" ma:fieldsID="160ccc0bc4b8391b4323b42fe79fe202" ns2:_="" ns3:_="">
    <xsd:import namespace="e7e42320-c381-4d5c-a06d-fb941b9287c9"/>
    <xsd:import namespace="e4cee1ae-901f-403b-af36-81ae1c6bd8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e42320-c381-4d5c-a06d-fb941b9287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19edae7-b79a-4a5e-b725-af92424e05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cee1ae-901f-403b-af36-81ae1c6bd84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2537be7-019f-49ec-95ad-57224fc3b453}" ma:internalName="TaxCatchAll" ma:showField="CatchAllData" ma:web="e4cee1ae-901f-403b-af36-81ae1c6bd8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7e42320-c381-4d5c-a06d-fb941b9287c9">
      <Terms xmlns="http://schemas.microsoft.com/office/infopath/2007/PartnerControls"/>
    </lcf76f155ced4ddcb4097134ff3c332f>
    <TaxCatchAll xmlns="e4cee1ae-901f-403b-af36-81ae1c6bd840" xsi:nil="true"/>
  </documentManagement>
</p:properties>
</file>

<file path=customXml/itemProps1.xml><?xml version="1.0" encoding="utf-8"?>
<ds:datastoreItem xmlns:ds="http://schemas.openxmlformats.org/officeDocument/2006/customXml" ds:itemID="{001A9752-CC19-4CCE-9BB4-641D58FDD133}"/>
</file>

<file path=customXml/itemProps2.xml><?xml version="1.0" encoding="utf-8"?>
<ds:datastoreItem xmlns:ds="http://schemas.openxmlformats.org/officeDocument/2006/customXml" ds:itemID="{B48EA0D3-BDEA-4D37-A114-FDA188924EA8}"/>
</file>

<file path=customXml/itemProps3.xml><?xml version="1.0" encoding="utf-8"?>
<ds:datastoreItem xmlns:ds="http://schemas.openxmlformats.org/officeDocument/2006/customXml" ds:itemID="{196FB40D-58B7-4141-AF19-D4F9167B2A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2026-07-02T15:43:35Z</dcterms:created>
  <dcterms:modified xsi:type="dcterms:W3CDTF">2026-07-30T21:22:35Z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0x010100E3922E2066466747B06F5A2CB1EF004C</vt:lpwstr>
  </property>
  <property fmtid="{D5CDD505-2E9C-101B-9397-08002B2CF9AE}" pid="3" name="MediaServiceImageTags">
    <vt:lpwstr/>
  </property>
</Properties>
</file>