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03D59FC7-3F1E-45F4-A776-B2BE602307E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structions" sheetId="1" r:id="rId1"/>
    <sheet name="Lists" sheetId="2" r:id="rId2"/>
    <sheet name="Data Source Register" sheetId="3" r:id="rId3"/>
    <sheet name="KPI Log" sheetId="4" r:id="rId4"/>
    <sheet name="Dimension Summary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5" l="1"/>
  <c r="F12" i="5"/>
  <c r="E12" i="5"/>
  <c r="D12" i="5"/>
  <c r="C12" i="5"/>
  <c r="F11" i="5"/>
  <c r="E11" i="5"/>
  <c r="D11" i="5"/>
  <c r="C11" i="5"/>
  <c r="F10" i="5"/>
  <c r="E10" i="5"/>
  <c r="D10" i="5"/>
  <c r="C10" i="5"/>
  <c r="F9" i="5"/>
  <c r="E9" i="5"/>
  <c r="D9" i="5"/>
  <c r="C9" i="5"/>
  <c r="F8" i="5"/>
  <c r="E8" i="5"/>
  <c r="D8" i="5"/>
  <c r="C8" i="5"/>
  <c r="F7" i="5"/>
  <c r="E7" i="5"/>
  <c r="D7" i="5"/>
  <c r="C7" i="5"/>
  <c r="F6" i="5"/>
  <c r="E6" i="5"/>
  <c r="D6" i="5"/>
  <c r="C6" i="5"/>
  <c r="F5" i="5"/>
  <c r="F13" i="5" s="1"/>
  <c r="E5" i="5"/>
  <c r="E13" i="5" s="1"/>
  <c r="D5" i="5"/>
  <c r="D13" i="5" s="1"/>
  <c r="C5" i="5"/>
  <c r="O43" i="4"/>
  <c r="A43" i="4"/>
  <c r="O42" i="4"/>
  <c r="A42" i="4"/>
  <c r="O41" i="4"/>
  <c r="A41" i="4"/>
  <c r="O40" i="4"/>
  <c r="A40" i="4"/>
  <c r="O39" i="4"/>
  <c r="A39" i="4"/>
  <c r="O38" i="4"/>
  <c r="A38" i="4"/>
  <c r="O37" i="4"/>
  <c r="A37" i="4"/>
  <c r="O36" i="4"/>
  <c r="A36" i="4"/>
  <c r="O35" i="4"/>
  <c r="A35" i="4"/>
  <c r="O34" i="4"/>
  <c r="A34" i="4"/>
  <c r="O33" i="4"/>
  <c r="A33" i="4"/>
  <c r="O32" i="4"/>
  <c r="A32" i="4"/>
  <c r="O31" i="4"/>
  <c r="A31" i="4"/>
  <c r="O30" i="4"/>
  <c r="A30" i="4"/>
  <c r="O29" i="4"/>
  <c r="A29" i="4"/>
  <c r="O28" i="4"/>
  <c r="A28" i="4"/>
  <c r="O27" i="4"/>
  <c r="A27" i="4"/>
  <c r="O26" i="4"/>
  <c r="A26" i="4"/>
  <c r="O25" i="4"/>
  <c r="A25" i="4"/>
  <c r="O24" i="4"/>
  <c r="A24" i="4"/>
  <c r="O23" i="4"/>
  <c r="A23" i="4"/>
  <c r="O22" i="4"/>
  <c r="A22" i="4"/>
  <c r="O21" i="4"/>
  <c r="A21" i="4"/>
  <c r="O20" i="4"/>
  <c r="A20" i="4"/>
  <c r="O19" i="4"/>
  <c r="A19" i="4"/>
  <c r="O18" i="4"/>
  <c r="A18" i="4"/>
  <c r="O17" i="4"/>
  <c r="A17" i="4"/>
  <c r="O16" i="4"/>
  <c r="A16" i="4"/>
  <c r="O15" i="4"/>
  <c r="A15" i="4"/>
  <c r="O14" i="4"/>
  <c r="A14" i="4"/>
  <c r="O13" i="4"/>
  <c r="A13" i="4"/>
  <c r="O12" i="4"/>
  <c r="A12" i="4"/>
  <c r="O11" i="4"/>
  <c r="A11" i="4"/>
  <c r="O10" i="4"/>
  <c r="A10" i="4"/>
  <c r="O9" i="4"/>
  <c r="A9" i="4"/>
  <c r="O8" i="4"/>
  <c r="A8" i="4"/>
  <c r="O7" i="4"/>
  <c r="A7" i="4"/>
  <c r="O6" i="4"/>
  <c r="A6" i="4"/>
  <c r="O5" i="4"/>
  <c r="A5" i="4"/>
  <c r="O4" i="4"/>
  <c r="A4" i="4"/>
  <c r="C13" i="5" l="1"/>
  <c r="G13" i="5" s="1"/>
  <c r="H5" i="5"/>
  <c r="G5" i="5"/>
  <c r="H6" i="5"/>
  <c r="G6" i="5"/>
  <c r="H7" i="5"/>
  <c r="G7" i="5"/>
  <c r="H8" i="5"/>
  <c r="G8" i="5"/>
  <c r="H9" i="5"/>
  <c r="G9" i="5"/>
  <c r="H10" i="5"/>
  <c r="G10" i="5"/>
  <c r="H11" i="5"/>
  <c r="G11" i="5"/>
  <c r="H12" i="5"/>
  <c r="G12" i="5"/>
  <c r="H13" i="5" l="1"/>
</calcChain>
</file>

<file path=xl/sharedStrings.xml><?xml version="1.0" encoding="utf-8"?>
<sst xmlns="http://schemas.openxmlformats.org/spreadsheetml/2006/main" count="96" uniqueCount="82">
  <si>
    <t>KPI Gathering Template — Operational Health Dashboard</t>
  </si>
  <si>
    <t>A structured workbook for capturing, defining, and thresholding the KPIs that will feed an operational health dashboard.</t>
  </si>
  <si>
    <t>How to use this workbook</t>
  </si>
  <si>
    <t>1. KPI Log — one row per KPI. This is the core intake tool; capture it here before it goes into a dashboard.</t>
  </si>
  <si>
    <t xml:space="preserve">     • Dimension: the health category the KPI rolls up to (e.g., Availability, Data Quality, Volume/Throughput).</t>
  </si>
  <si>
    <t xml:space="preserve">     • Definition: a precise, unambiguous description of what is being measured.</t>
  </si>
  <si>
    <t xml:space="preserve">     • Calculation / Formula: how the metric is computed from source data (e.g., "successful runs / total runs").</t>
  </si>
  <si>
    <t xml:space="preserve">     • Data Source / System of Record: where the raw data lives and how it is retrieved (real-time, snapshot, manual).</t>
  </si>
  <si>
    <t xml:space="preserve">     • Target Direction: whether higher or lower values are "healthy" — drives the RAG status formula.</t>
  </si>
  <si>
    <t xml:space="preserve">     • Green / Amber / Red Thresholds: the numeric boundaries for each status; enter Current Value to see RAG auto-calculate.</t>
  </si>
  <si>
    <t>2. Dimension Summary — auto-rolls up KPI count and RAG mix by Dimension; optionally weight dimensions for a composite score.</t>
  </si>
  <si>
    <t>3. Data Source Register — log each system of record / API / log feed once, then reference it by name in the KPI Log.</t>
  </si>
  <si>
    <t>4. Lists tab — edit the dropdown source lists (Dimension, Frequency, Owner, Data Source Type, Status) to match your program.</t>
  </si>
  <si>
    <t>Formatting key</t>
  </si>
  <si>
    <t>Blue text = input cell (edit me)</t>
  </si>
  <si>
    <t>Black text = formula (do not overwrite)</t>
  </si>
  <si>
    <t>Yellow fill = key assumption to confirm</t>
  </si>
  <si>
    <t>Green / Amber / Red fill = RAG status reference</t>
  </si>
  <si>
    <t>RAG color example:</t>
  </si>
  <si>
    <t>Dimension</t>
  </si>
  <si>
    <t>Frequency</t>
  </si>
  <si>
    <t>Target Direction</t>
  </si>
  <si>
    <t>Status</t>
  </si>
  <si>
    <t>Data Source Type</t>
  </si>
  <si>
    <t>Availability / Uptime</t>
  </si>
  <si>
    <t>Real-time</t>
  </si>
  <si>
    <t>Higher is better</t>
  </si>
  <si>
    <t>Proposed</t>
  </si>
  <si>
    <t>System of Record (real-time)</t>
  </si>
  <si>
    <t>Performance / Speed</t>
  </si>
  <si>
    <t>Daily</t>
  </si>
  <si>
    <t>Lower is better</t>
  </si>
  <si>
    <t>Active</t>
  </si>
  <si>
    <t>System of Record (snapshot)</t>
  </si>
  <si>
    <t>Accuracy / Data Quality</t>
  </si>
  <si>
    <t>Weekly</t>
  </si>
  <si>
    <t>Under Review</t>
  </si>
  <si>
    <t>API</t>
  </si>
  <si>
    <t>Volume / Throughput</t>
  </si>
  <si>
    <t>Monthly</t>
  </si>
  <si>
    <t>Retired</t>
  </si>
  <si>
    <t>Log / Event Stream</t>
  </si>
  <si>
    <t>Exception / Error Rate</t>
  </si>
  <si>
    <t>Quarterly</t>
  </si>
  <si>
    <t>Manual Entry</t>
  </si>
  <si>
    <t>Compliance / Governance</t>
  </si>
  <si>
    <t>Adoption / Usage</t>
  </si>
  <si>
    <t>Cost / Efficiency</t>
  </si>
  <si>
    <t>Data Source Register</t>
  </si>
  <si>
    <t>Log each system of record, API, or feed once here, then reference it by name in the KPI Log.</t>
  </si>
  <si>
    <t>Data Source Name</t>
  </si>
  <si>
    <t>Type</t>
  </si>
  <si>
    <t>Owner / Team</t>
  </si>
  <si>
    <t>Retrieval Method</t>
  </si>
  <si>
    <t>Refresh Cadence</t>
  </si>
  <si>
    <t>Access / Permissions Needed</t>
  </si>
  <si>
    <t>Notes</t>
  </si>
  <si>
    <t>KPI Log — Operational Health Dashboard</t>
  </si>
  <si>
    <t>One row per KPI. Enter Current Value to auto-calculate RAG Status from your thresholds.</t>
  </si>
  <si>
    <t>KPI ID</t>
  </si>
  <si>
    <t>KPI Name</t>
  </si>
  <si>
    <t>Definition</t>
  </si>
  <si>
    <t>Calculation / Formula</t>
  </si>
  <si>
    <t>Data Source</t>
  </si>
  <si>
    <t>Owner</t>
  </si>
  <si>
    <t>Unit</t>
  </si>
  <si>
    <t>Green Threshold</t>
  </si>
  <si>
    <t>Amber Threshold</t>
  </si>
  <si>
    <t>Red Threshold</t>
  </si>
  <si>
    <t>Current Value</t>
  </si>
  <si>
    <t>RAG Status</t>
  </si>
  <si>
    <t>Dimension Summary</t>
  </si>
  <si>
    <t>Auto-rolls up KPI count and RAG mix by Dimension from the KPI Log. Add optional weights for a composite health score.</t>
  </si>
  <si>
    <t>Weight (%)</t>
  </si>
  <si>
    <t># of KPIs</t>
  </si>
  <si>
    <t># Green</t>
  </si>
  <si>
    <t># Amber</t>
  </si>
  <si>
    <t># Red</t>
  </si>
  <si>
    <t>Green Share</t>
  </si>
  <si>
    <t>Composite Score</t>
  </si>
  <si>
    <t>Total / Overall Health Score</t>
  </si>
  <si>
    <t>Note: Weight (yellow) is a manual input and should sum to 100% across dimensions. Composite Score = Weight x Green Share, summed for an overall weighted health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</si>
</sst>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;\-"/>
    <numFmt numFmtId="165" formatCode="0%;\(0%\);\-"/>
    <numFmt numFmtId="166" formatCode="0.0%"/>
  </numFmts>
  <fonts count="9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7F7F7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C6E0B4"/>
        <bgColor rgb="FFBFBFBF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7" fillId="5" borderId="0" xfId="0" applyFont="1" applyFill="1"/>
    <xf numFmtId="0" fontId="8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9" fontId="5" fillId="7" borderId="1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3" fillId="8" borderId="1" xfId="0" applyFont="1" applyFill="1" applyBorder="1"/>
    <xf numFmtId="9" fontId="6" fillId="8" borderId="1" xfId="0" applyNumberFormat="1" applyFont="1" applyFill="1" applyBorder="1"/>
    <xf numFmtId="0" fontId="6" fillId="8" borderId="1" xfId="0" applyFont="1" applyFill="1" applyBorder="1" applyAlignment="1">
      <alignment horizontal="center" vertical="center" wrapText="1"/>
    </xf>
    <xf numFmtId="165" fontId="6" fillId="8" borderId="1" xfId="0" applyNumberFormat="1" applyFont="1" applyFill="1" applyBorder="1"/>
    <xf numFmtId="166" fontId="6" fillId="8" borderId="1" xfId="0" applyNumberFormat="1" applyFont="1" applyFill="1" applyBorder="1"/>
  </cellXfs>
  <cellStyles count="1">
    <cellStyle name="Normal" xfId="0" builtinId="0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showGridLines="0" tabSelected="1" zoomScaleNormal="100" workbookViewId="0"/>
  </sheetViews>
  <sheetFormatPr defaultColWidth="8.7109375" defaultRowHeight="15"/>
  <cols>
    <col min="1" max="1" width="3" customWidth="1"/>
    <col min="2" max="2" width="100" customWidth="1"/>
  </cols>
  <sheetData>
    <row r="2" spans="2:2" ht="19.7">
      <c r="B2" s="1" t="s">
        <v>0</v>
      </c>
    </row>
    <row r="3" spans="2:2">
      <c r="B3" s="2" t="s">
        <v>1</v>
      </c>
    </row>
    <row r="5" spans="2:2">
      <c r="B5" s="3" t="s">
        <v>2</v>
      </c>
    </row>
    <row r="6" spans="2:2">
      <c r="B6" s="4" t="s">
        <v>3</v>
      </c>
    </row>
    <row r="7" spans="2:2">
      <c r="B7" s="4" t="s">
        <v>4</v>
      </c>
    </row>
    <row r="8" spans="2:2">
      <c r="B8" s="4" t="s">
        <v>5</v>
      </c>
    </row>
    <row r="9" spans="2:2">
      <c r="B9" s="4" t="s">
        <v>6</v>
      </c>
    </row>
    <row r="10" spans="2:2">
      <c r="B10" s="4" t="s">
        <v>7</v>
      </c>
    </row>
    <row r="11" spans="2:2">
      <c r="B11" s="4" t="s">
        <v>8</v>
      </c>
    </row>
    <row r="12" spans="2:2">
      <c r="B12" s="4" t="s">
        <v>9</v>
      </c>
    </row>
    <row r="13" spans="2:2">
      <c r="B13" s="4" t="s">
        <v>10</v>
      </c>
    </row>
    <row r="14" spans="2:2">
      <c r="B14" s="4" t="s">
        <v>11</v>
      </c>
    </row>
    <row r="15" spans="2:2">
      <c r="B15" s="4" t="s">
        <v>12</v>
      </c>
    </row>
    <row r="16" spans="2:2">
      <c r="B16" s="4"/>
    </row>
    <row r="17" spans="2:5">
      <c r="B17" s="3" t="s">
        <v>13</v>
      </c>
    </row>
    <row r="18" spans="2:5">
      <c r="B18" s="5" t="s">
        <v>14</v>
      </c>
    </row>
    <row r="19" spans="2:5">
      <c r="B19" s="6" t="s">
        <v>15</v>
      </c>
    </row>
    <row r="20" spans="2:5">
      <c r="B20" s="4" t="s">
        <v>16</v>
      </c>
    </row>
    <row r="21" spans="2:5">
      <c r="B21" s="4" t="s">
        <v>17</v>
      </c>
    </row>
    <row r="23" spans="2:5">
      <c r="B23" s="4" t="s">
        <v>18</v>
      </c>
      <c r="C23" s="7"/>
      <c r="D23" s="8"/>
      <c r="E23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zoomScaleNormal="100" workbookViewId="0"/>
  </sheetViews>
  <sheetFormatPr defaultColWidth="8.7109375" defaultRowHeight="15"/>
  <cols>
    <col min="1" max="5" width="26" customWidth="1"/>
  </cols>
  <sheetData>
    <row r="1" spans="1:5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</row>
    <row r="2" spans="1:5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</row>
    <row r="3" spans="1:5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</row>
    <row r="4" spans="1:5">
      <c r="A4" s="4" t="s">
        <v>34</v>
      </c>
      <c r="B4" s="4" t="s">
        <v>35</v>
      </c>
      <c r="D4" s="4" t="s">
        <v>36</v>
      </c>
      <c r="E4" s="4" t="s">
        <v>37</v>
      </c>
    </row>
    <row r="5" spans="1:5">
      <c r="A5" s="4" t="s">
        <v>38</v>
      </c>
      <c r="B5" s="4" t="s">
        <v>39</v>
      </c>
      <c r="D5" s="4" t="s">
        <v>40</v>
      </c>
      <c r="E5" s="4" t="s">
        <v>41</v>
      </c>
    </row>
    <row r="6" spans="1:5">
      <c r="A6" s="4" t="s">
        <v>42</v>
      </c>
      <c r="B6" s="4" t="s">
        <v>43</v>
      </c>
      <c r="E6" s="4" t="s">
        <v>44</v>
      </c>
    </row>
    <row r="7" spans="1:5">
      <c r="A7" s="4" t="s">
        <v>45</v>
      </c>
    </row>
    <row r="8" spans="1:5">
      <c r="A8" s="4" t="s">
        <v>46</v>
      </c>
    </row>
    <row r="9" spans="1:5">
      <c r="A9" s="4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4" customWidth="1"/>
    <col min="2" max="2" width="22" customWidth="1"/>
    <col min="3" max="3" width="18" customWidth="1"/>
    <col min="4" max="4" width="20" customWidth="1"/>
    <col min="5" max="5" width="16" customWidth="1"/>
    <col min="6" max="6" width="26" customWidth="1"/>
    <col min="7" max="7" width="28" customWidth="1"/>
  </cols>
  <sheetData>
    <row r="1" spans="1:7" ht="19.7">
      <c r="A1" s="1" t="s">
        <v>48</v>
      </c>
    </row>
    <row r="2" spans="1:7">
      <c r="A2" s="2" t="s">
        <v>49</v>
      </c>
    </row>
    <row r="3" spans="1:7" ht="23.85">
      <c r="A3" s="11" t="s">
        <v>50</v>
      </c>
      <c r="B3" s="11" t="s">
        <v>51</v>
      </c>
      <c r="C3" s="11" t="s">
        <v>52</v>
      </c>
      <c r="D3" s="11" t="s">
        <v>53</v>
      </c>
      <c r="E3" s="11" t="s">
        <v>54</v>
      </c>
      <c r="F3" s="11" t="s">
        <v>55</v>
      </c>
      <c r="G3" s="11" t="s">
        <v>56</v>
      </c>
    </row>
    <row r="4" spans="1:7">
      <c r="A4" s="12"/>
      <c r="B4" s="13"/>
      <c r="C4" s="13"/>
      <c r="D4" s="13"/>
      <c r="E4" s="13"/>
      <c r="F4" s="12"/>
      <c r="G4" s="12"/>
    </row>
    <row r="5" spans="1:7">
      <c r="A5" s="12"/>
      <c r="B5" s="13"/>
      <c r="C5" s="13"/>
      <c r="D5" s="13"/>
      <c r="E5" s="13"/>
      <c r="F5" s="12"/>
      <c r="G5" s="12"/>
    </row>
    <row r="6" spans="1:7">
      <c r="A6" s="12"/>
      <c r="B6" s="13"/>
      <c r="C6" s="13"/>
      <c r="D6" s="13"/>
      <c r="E6" s="13"/>
      <c r="F6" s="12"/>
      <c r="G6" s="12"/>
    </row>
    <row r="7" spans="1:7">
      <c r="A7" s="12"/>
      <c r="B7" s="13"/>
      <c r="C7" s="13"/>
      <c r="D7" s="13"/>
      <c r="E7" s="13"/>
      <c r="F7" s="12"/>
      <c r="G7" s="12"/>
    </row>
    <row r="8" spans="1:7">
      <c r="A8" s="12"/>
      <c r="B8" s="13"/>
      <c r="C8" s="13"/>
      <c r="D8" s="13"/>
      <c r="E8" s="13"/>
      <c r="F8" s="12"/>
      <c r="G8" s="12"/>
    </row>
    <row r="9" spans="1:7">
      <c r="A9" s="12"/>
      <c r="B9" s="13"/>
      <c r="C9" s="13"/>
      <c r="D9" s="13"/>
      <c r="E9" s="13"/>
      <c r="F9" s="12"/>
      <c r="G9" s="12"/>
    </row>
    <row r="10" spans="1:7">
      <c r="A10" s="12"/>
      <c r="B10" s="13"/>
      <c r="C10" s="13"/>
      <c r="D10" s="13"/>
      <c r="E10" s="13"/>
      <c r="F10" s="12"/>
      <c r="G10" s="12"/>
    </row>
    <row r="11" spans="1:7">
      <c r="A11" s="12"/>
      <c r="B11" s="13"/>
      <c r="C11" s="13"/>
      <c r="D11" s="13"/>
      <c r="E11" s="13"/>
      <c r="F11" s="12"/>
      <c r="G11" s="12"/>
    </row>
    <row r="12" spans="1:7">
      <c r="A12" s="12"/>
      <c r="B12" s="13"/>
      <c r="C12" s="13"/>
      <c r="D12" s="13"/>
      <c r="E12" s="13"/>
      <c r="F12" s="12"/>
      <c r="G12" s="12"/>
    </row>
    <row r="13" spans="1:7">
      <c r="A13" s="12"/>
      <c r="B13" s="13"/>
      <c r="C13" s="13"/>
      <c r="D13" s="13"/>
      <c r="E13" s="13"/>
      <c r="F13" s="12"/>
      <c r="G13" s="12"/>
    </row>
    <row r="14" spans="1:7">
      <c r="A14" s="12"/>
      <c r="B14" s="13"/>
      <c r="C14" s="13"/>
      <c r="D14" s="13"/>
      <c r="E14" s="13"/>
      <c r="F14" s="12"/>
      <c r="G14" s="12"/>
    </row>
    <row r="15" spans="1:7">
      <c r="A15" s="12"/>
      <c r="B15" s="13"/>
      <c r="C15" s="13"/>
      <c r="D15" s="13"/>
      <c r="E15" s="13"/>
      <c r="F15" s="12"/>
      <c r="G15" s="12"/>
    </row>
    <row r="16" spans="1:7">
      <c r="A16" s="12"/>
      <c r="B16" s="13"/>
      <c r="C16" s="13"/>
      <c r="D16" s="13"/>
      <c r="E16" s="13"/>
      <c r="F16" s="12"/>
      <c r="G16" s="12"/>
    </row>
    <row r="17" spans="1:7">
      <c r="A17" s="12"/>
      <c r="B17" s="13"/>
      <c r="C17" s="13"/>
      <c r="D17" s="13"/>
      <c r="E17" s="13"/>
      <c r="F17" s="12"/>
      <c r="G17" s="12"/>
    </row>
    <row r="18" spans="1:7">
      <c r="A18" s="12"/>
      <c r="B18" s="13"/>
      <c r="C18" s="13"/>
      <c r="D18" s="13"/>
      <c r="E18" s="13"/>
      <c r="F18" s="12"/>
      <c r="G18" s="12"/>
    </row>
    <row r="19" spans="1:7">
      <c r="A19" s="12"/>
      <c r="B19" s="13"/>
      <c r="C19" s="13"/>
      <c r="D19" s="13"/>
      <c r="E19" s="13"/>
      <c r="F19" s="12"/>
      <c r="G19" s="12"/>
    </row>
    <row r="20" spans="1:7">
      <c r="A20" s="12"/>
      <c r="B20" s="13"/>
      <c r="C20" s="13"/>
      <c r="D20" s="13"/>
      <c r="E20" s="13"/>
      <c r="F20" s="12"/>
      <c r="G20" s="12"/>
    </row>
    <row r="21" spans="1:7">
      <c r="A21" s="12"/>
      <c r="B21" s="13"/>
      <c r="C21" s="13"/>
      <c r="D21" s="13"/>
      <c r="E21" s="13"/>
      <c r="F21" s="12"/>
      <c r="G21" s="12"/>
    </row>
    <row r="22" spans="1:7">
      <c r="A22" s="12"/>
      <c r="B22" s="13"/>
      <c r="C22" s="13"/>
      <c r="D22" s="13"/>
      <c r="E22" s="13"/>
      <c r="F22" s="12"/>
      <c r="G22" s="12"/>
    </row>
    <row r="23" spans="1:7">
      <c r="A23" s="12"/>
      <c r="B23" s="13"/>
      <c r="C23" s="13"/>
      <c r="D23" s="13"/>
      <c r="E23" s="13"/>
      <c r="F23" s="12"/>
      <c r="G23" s="12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Lists!$E$2:$E$6</xm:f>
          </x14:formula1>
          <x14:formula2>
            <xm:f>0</xm:f>
          </x14:formula2>
          <xm:sqref>B4:B23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0" customWidth="1"/>
    <col min="2" max="2" width="20" customWidth="1"/>
    <col min="3" max="3" width="22" customWidth="1"/>
    <col min="4" max="4" width="30" customWidth="1"/>
    <col min="5" max="5" width="28" customWidth="1"/>
    <col min="6" max="6" width="18" customWidth="1"/>
    <col min="7" max="8" width="14" customWidth="1"/>
    <col min="9" max="9" width="10" customWidth="1"/>
    <col min="10" max="10" width="16" customWidth="1"/>
    <col min="11" max="14" width="14" customWidth="1"/>
    <col min="15" max="15" width="12" customWidth="1"/>
    <col min="16" max="16" width="14" customWidth="1"/>
    <col min="17" max="17" width="24" customWidth="1"/>
  </cols>
  <sheetData>
    <row r="1" spans="1:17" ht="19.7">
      <c r="A1" s="1" t="s">
        <v>57</v>
      </c>
    </row>
    <row r="2" spans="1:17">
      <c r="A2" s="2" t="s">
        <v>58</v>
      </c>
    </row>
    <row r="3" spans="1:17" ht="23.85">
      <c r="A3" s="11" t="s">
        <v>59</v>
      </c>
      <c r="B3" s="11" t="s">
        <v>19</v>
      </c>
      <c r="C3" s="11" t="s">
        <v>60</v>
      </c>
      <c r="D3" s="11" t="s">
        <v>61</v>
      </c>
      <c r="E3" s="11" t="s">
        <v>62</v>
      </c>
      <c r="F3" s="11" t="s">
        <v>63</v>
      </c>
      <c r="G3" s="11" t="s">
        <v>64</v>
      </c>
      <c r="H3" s="11" t="s">
        <v>20</v>
      </c>
      <c r="I3" s="11" t="s">
        <v>65</v>
      </c>
      <c r="J3" s="11" t="s">
        <v>21</v>
      </c>
      <c r="K3" s="11" t="s">
        <v>66</v>
      </c>
      <c r="L3" s="11" t="s">
        <v>67</v>
      </c>
      <c r="M3" s="11" t="s">
        <v>68</v>
      </c>
      <c r="N3" s="11" t="s">
        <v>69</v>
      </c>
      <c r="O3" s="11" t="s">
        <v>70</v>
      </c>
      <c r="P3" s="11" t="s">
        <v>22</v>
      </c>
      <c r="Q3" s="11" t="s">
        <v>56</v>
      </c>
    </row>
    <row r="4" spans="1:17">
      <c r="A4" s="14" t="str">
        <f>IF(C4="","","KPI-"&amp;TEXT(ROW()-3,"000"))</f>
        <v/>
      </c>
      <c r="B4" s="13"/>
      <c r="C4" s="13"/>
      <c r="D4" s="12"/>
      <c r="E4" s="12"/>
      <c r="F4" s="13"/>
      <c r="G4" s="13"/>
      <c r="H4" s="13"/>
      <c r="I4" s="13"/>
      <c r="J4" s="13"/>
      <c r="K4" s="15"/>
      <c r="L4" s="15"/>
      <c r="M4" s="15"/>
      <c r="N4" s="15"/>
      <c r="O4" s="14" t="str">
        <f>IF(OR(N4="",J4="",K4="",L4="",M4=""),"",IF(J4="Higher is better",IF(N4&gt;=K4,"Green",IF(N4&gt;=L4,"Amber","Red")),IF(N4&lt;=K4,"Green",IF(N4&lt;=L4,"Amber","Red"))))</f>
        <v/>
      </c>
      <c r="P4" s="13"/>
      <c r="Q4" s="12"/>
    </row>
    <row r="5" spans="1:17">
      <c r="A5" s="14" t="str">
        <f>IF(C5="","","KPI-"&amp;TEXT(ROW()-3,"000"))</f>
        <v/>
      </c>
      <c r="B5" s="13"/>
      <c r="C5" s="13"/>
      <c r="D5" s="12"/>
      <c r="E5" s="12"/>
      <c r="F5" s="13"/>
      <c r="G5" s="13"/>
      <c r="H5" s="13"/>
      <c r="I5" s="13"/>
      <c r="J5" s="13"/>
      <c r="K5" s="15"/>
      <c r="L5" s="15"/>
      <c r="M5" s="15"/>
      <c r="N5" s="15"/>
      <c r="O5" s="14" t="str">
        <f>IF(OR(N5="",J5="",K5="",L5="",M5=""),"",IF(J5="Higher is better",IF(N5&gt;=K5,"Green",IF(N5&gt;=L5,"Amber","Red")),IF(N5&lt;=K5,"Green",IF(N5&lt;=L5,"Amber","Red"))))</f>
        <v/>
      </c>
      <c r="P5" s="13"/>
      <c r="Q5" s="12"/>
    </row>
    <row r="6" spans="1:17">
      <c r="A6" s="14" t="str">
        <f>IF(C6="","","KPI-"&amp;TEXT(ROW()-3,"000"))</f>
        <v/>
      </c>
      <c r="B6" s="13"/>
      <c r="C6" s="13"/>
      <c r="D6" s="12"/>
      <c r="E6" s="12"/>
      <c r="F6" s="13"/>
      <c r="G6" s="13"/>
      <c r="H6" s="13"/>
      <c r="I6" s="13"/>
      <c r="J6" s="13"/>
      <c r="K6" s="15"/>
      <c r="L6" s="15"/>
      <c r="M6" s="15"/>
      <c r="N6" s="15"/>
      <c r="O6" s="14" t="str">
        <f>IF(OR(N6="",J6="",K6="",L6="",M6=""),"",IF(J6="Higher is better",IF(N6&gt;=K6,"Green",IF(N6&gt;=L6,"Amber","Red")),IF(N6&lt;=K6,"Green",IF(N6&lt;=L6,"Amber","Red"))))</f>
        <v/>
      </c>
      <c r="P6" s="13"/>
      <c r="Q6" s="12"/>
    </row>
    <row r="7" spans="1:17">
      <c r="A7" s="14" t="str">
        <f>IF(C7="","","KPI-"&amp;TEXT(ROW()-3,"000"))</f>
        <v/>
      </c>
      <c r="B7" s="13"/>
      <c r="C7" s="13"/>
      <c r="D7" s="12"/>
      <c r="E7" s="12"/>
      <c r="F7" s="13"/>
      <c r="G7" s="13"/>
      <c r="H7" s="13"/>
      <c r="I7" s="13"/>
      <c r="J7" s="13"/>
      <c r="K7" s="15"/>
      <c r="L7" s="15"/>
      <c r="M7" s="15"/>
      <c r="N7" s="15"/>
      <c r="O7" s="14" t="str">
        <f>IF(OR(N7="",J7="",K7="",L7="",M7=""),"",IF(J7="Higher is better",IF(N7&gt;=K7,"Green",IF(N7&gt;=L7,"Amber","Red")),IF(N7&lt;=K7,"Green",IF(N7&lt;=L7,"Amber","Red"))))</f>
        <v/>
      </c>
      <c r="P7" s="13"/>
      <c r="Q7" s="12"/>
    </row>
    <row r="8" spans="1:17">
      <c r="A8" s="14" t="str">
        <f>IF(C8="","","KPI-"&amp;TEXT(ROW()-3,"000"))</f>
        <v/>
      </c>
      <c r="B8" s="13"/>
      <c r="C8" s="13"/>
      <c r="D8" s="12"/>
      <c r="E8" s="12"/>
      <c r="F8" s="13"/>
      <c r="G8" s="13"/>
      <c r="H8" s="13"/>
      <c r="I8" s="13"/>
      <c r="J8" s="13"/>
      <c r="K8" s="15"/>
      <c r="L8" s="15"/>
      <c r="M8" s="15"/>
      <c r="N8" s="15"/>
      <c r="O8" s="14" t="str">
        <f>IF(OR(N8="",J8="",K8="",L8="",M8=""),"",IF(J8="Higher is better",IF(N8&gt;=K8,"Green",IF(N8&gt;=L8,"Amber","Red")),IF(N8&lt;=K8,"Green",IF(N8&lt;=L8,"Amber","Red"))))</f>
        <v/>
      </c>
      <c r="P8" s="13"/>
      <c r="Q8" s="12"/>
    </row>
    <row r="9" spans="1:17">
      <c r="A9" s="14" t="str">
        <f>IF(C9="","","KPI-"&amp;TEXT(ROW()-3,"000"))</f>
        <v/>
      </c>
      <c r="B9" s="13"/>
      <c r="C9" s="13"/>
      <c r="D9" s="12"/>
      <c r="E9" s="12"/>
      <c r="F9" s="13"/>
      <c r="G9" s="13"/>
      <c r="H9" s="13"/>
      <c r="I9" s="13"/>
      <c r="J9" s="13"/>
      <c r="K9" s="15"/>
      <c r="L9" s="15"/>
      <c r="M9" s="15"/>
      <c r="N9" s="15"/>
      <c r="O9" s="14" t="str">
        <f>IF(OR(N9="",J9="",K9="",L9="",M9=""),"",IF(J9="Higher is better",IF(N9&gt;=K9,"Green",IF(N9&gt;=L9,"Amber","Red")),IF(N9&lt;=K9,"Green",IF(N9&lt;=L9,"Amber","Red"))))</f>
        <v/>
      </c>
      <c r="P9" s="13"/>
      <c r="Q9" s="12"/>
    </row>
    <row r="10" spans="1:17">
      <c r="A10" s="14" t="str">
        <f>IF(C10="","","KPI-"&amp;TEXT(ROW()-3,"000"))</f>
        <v/>
      </c>
      <c r="B10" s="13"/>
      <c r="C10" s="13"/>
      <c r="D10" s="12"/>
      <c r="E10" s="12"/>
      <c r="F10" s="13"/>
      <c r="G10" s="13"/>
      <c r="H10" s="13"/>
      <c r="I10" s="13"/>
      <c r="J10" s="13"/>
      <c r="K10" s="15"/>
      <c r="L10" s="15"/>
      <c r="M10" s="15"/>
      <c r="N10" s="15"/>
      <c r="O10" s="14" t="str">
        <f>IF(OR(N10="",J10="",K10="",L10="",M10=""),"",IF(J10="Higher is better",IF(N10&gt;=K10,"Green",IF(N10&gt;=L10,"Amber","Red")),IF(N10&lt;=K10,"Green",IF(N10&lt;=L10,"Amber","Red"))))</f>
        <v/>
      </c>
      <c r="P10" s="13"/>
      <c r="Q10" s="12"/>
    </row>
    <row r="11" spans="1:17">
      <c r="A11" s="14" t="str">
        <f>IF(C11="","","KPI-"&amp;TEXT(ROW()-3,"000"))</f>
        <v/>
      </c>
      <c r="B11" s="13"/>
      <c r="C11" s="13"/>
      <c r="D11" s="12"/>
      <c r="E11" s="12"/>
      <c r="F11" s="13"/>
      <c r="G11" s="13"/>
      <c r="H11" s="13"/>
      <c r="I11" s="13"/>
      <c r="J11" s="13"/>
      <c r="K11" s="15"/>
      <c r="L11" s="15"/>
      <c r="M11" s="15"/>
      <c r="N11" s="15"/>
      <c r="O11" s="14" t="str">
        <f>IF(OR(N11="",J11="",K11="",L11="",M11=""),"",IF(J11="Higher is better",IF(N11&gt;=K11,"Green",IF(N11&gt;=L11,"Amber","Red")),IF(N11&lt;=K11,"Green",IF(N11&lt;=L11,"Amber","Red"))))</f>
        <v/>
      </c>
      <c r="P11" s="13"/>
      <c r="Q11" s="12"/>
    </row>
    <row r="12" spans="1:17">
      <c r="A12" s="14" t="str">
        <f>IF(C12="","","KPI-"&amp;TEXT(ROW()-3,"000"))</f>
        <v/>
      </c>
      <c r="B12" s="13"/>
      <c r="C12" s="13"/>
      <c r="D12" s="12"/>
      <c r="E12" s="12"/>
      <c r="F12" s="13"/>
      <c r="G12" s="13"/>
      <c r="H12" s="13"/>
      <c r="I12" s="13"/>
      <c r="J12" s="13"/>
      <c r="K12" s="15"/>
      <c r="L12" s="15"/>
      <c r="M12" s="15"/>
      <c r="N12" s="15"/>
      <c r="O12" s="14" t="str">
        <f>IF(OR(N12="",J12="",K12="",L12="",M12=""),"",IF(J12="Higher is better",IF(N12&gt;=K12,"Green",IF(N12&gt;=L12,"Amber","Red")),IF(N12&lt;=K12,"Green",IF(N12&lt;=L12,"Amber","Red"))))</f>
        <v/>
      </c>
      <c r="P12" s="13"/>
      <c r="Q12" s="12"/>
    </row>
    <row r="13" spans="1:17">
      <c r="A13" s="14" t="str">
        <f>IF(C13="","","KPI-"&amp;TEXT(ROW()-3,"000"))</f>
        <v/>
      </c>
      <c r="B13" s="13"/>
      <c r="C13" s="13"/>
      <c r="D13" s="12"/>
      <c r="E13" s="12"/>
      <c r="F13" s="13"/>
      <c r="G13" s="13"/>
      <c r="H13" s="13"/>
      <c r="I13" s="13"/>
      <c r="J13" s="13"/>
      <c r="K13" s="15"/>
      <c r="L13" s="15"/>
      <c r="M13" s="15"/>
      <c r="N13" s="15"/>
      <c r="O13" s="14" t="str">
        <f>IF(OR(N13="",J13="",K13="",L13="",M13=""),"",IF(J13="Higher is better",IF(N13&gt;=K13,"Green",IF(N13&gt;=L13,"Amber","Red")),IF(N13&lt;=K13,"Green",IF(N13&lt;=L13,"Amber","Red"))))</f>
        <v/>
      </c>
      <c r="P13" s="13"/>
      <c r="Q13" s="12"/>
    </row>
    <row r="14" spans="1:17">
      <c r="A14" s="14" t="str">
        <f>IF(C14="","","KPI-"&amp;TEXT(ROW()-3,"000"))</f>
        <v/>
      </c>
      <c r="B14" s="13"/>
      <c r="C14" s="13"/>
      <c r="D14" s="12"/>
      <c r="E14" s="12"/>
      <c r="F14" s="13"/>
      <c r="G14" s="13"/>
      <c r="H14" s="13"/>
      <c r="I14" s="13"/>
      <c r="J14" s="13"/>
      <c r="K14" s="15"/>
      <c r="L14" s="15"/>
      <c r="M14" s="15"/>
      <c r="N14" s="15"/>
      <c r="O14" s="14" t="str">
        <f>IF(OR(N14="",J14="",K14="",L14="",M14=""),"",IF(J14="Higher is better",IF(N14&gt;=K14,"Green",IF(N14&gt;=L14,"Amber","Red")),IF(N14&lt;=K14,"Green",IF(N14&lt;=L14,"Amber","Red"))))</f>
        <v/>
      </c>
      <c r="P14" s="13"/>
      <c r="Q14" s="12"/>
    </row>
    <row r="15" spans="1:17">
      <c r="A15" s="14" t="str">
        <f>IF(C15="","","KPI-"&amp;TEXT(ROW()-3,"000"))</f>
        <v/>
      </c>
      <c r="B15" s="13"/>
      <c r="C15" s="13"/>
      <c r="D15" s="12"/>
      <c r="E15" s="12"/>
      <c r="F15" s="13"/>
      <c r="G15" s="13"/>
      <c r="H15" s="13"/>
      <c r="I15" s="13"/>
      <c r="J15" s="13"/>
      <c r="K15" s="15"/>
      <c r="L15" s="15"/>
      <c r="M15" s="15"/>
      <c r="N15" s="15"/>
      <c r="O15" s="14" t="str">
        <f>IF(OR(N15="",J15="",K15="",L15="",M15=""),"",IF(J15="Higher is better",IF(N15&gt;=K15,"Green",IF(N15&gt;=L15,"Amber","Red")),IF(N15&lt;=K15,"Green",IF(N15&lt;=L15,"Amber","Red"))))</f>
        <v/>
      </c>
      <c r="P15" s="13"/>
      <c r="Q15" s="12"/>
    </row>
    <row r="16" spans="1:17">
      <c r="A16" s="14" t="str">
        <f>IF(C16="","","KPI-"&amp;TEXT(ROW()-3,"000"))</f>
        <v/>
      </c>
      <c r="B16" s="13"/>
      <c r="C16" s="13"/>
      <c r="D16" s="12"/>
      <c r="E16" s="12"/>
      <c r="F16" s="13"/>
      <c r="G16" s="13"/>
      <c r="H16" s="13"/>
      <c r="I16" s="13"/>
      <c r="J16" s="13"/>
      <c r="K16" s="15"/>
      <c r="L16" s="15"/>
      <c r="M16" s="15"/>
      <c r="N16" s="15"/>
      <c r="O16" s="14" t="str">
        <f>IF(OR(N16="",J16="",K16="",L16="",M16=""),"",IF(J16="Higher is better",IF(N16&gt;=K16,"Green",IF(N16&gt;=L16,"Amber","Red")),IF(N16&lt;=K16,"Green",IF(N16&lt;=L16,"Amber","Red"))))</f>
        <v/>
      </c>
      <c r="P16" s="13"/>
      <c r="Q16" s="12"/>
    </row>
    <row r="17" spans="1:17">
      <c r="A17" s="14" t="str">
        <f>IF(C17="","","KPI-"&amp;TEXT(ROW()-3,"000"))</f>
        <v/>
      </c>
      <c r="B17" s="13"/>
      <c r="C17" s="13"/>
      <c r="D17" s="12"/>
      <c r="E17" s="12"/>
      <c r="F17" s="13"/>
      <c r="G17" s="13"/>
      <c r="H17" s="13"/>
      <c r="I17" s="13"/>
      <c r="J17" s="13"/>
      <c r="K17" s="15"/>
      <c r="L17" s="15"/>
      <c r="M17" s="15"/>
      <c r="N17" s="15"/>
      <c r="O17" s="14" t="str">
        <f>IF(OR(N17="",J17="",K17="",L17="",M17=""),"",IF(J17="Higher is better",IF(N17&gt;=K17,"Green",IF(N17&gt;=L17,"Amber","Red")),IF(N17&lt;=K17,"Green",IF(N17&lt;=L17,"Amber","Red"))))</f>
        <v/>
      </c>
      <c r="P17" s="13"/>
      <c r="Q17" s="12"/>
    </row>
    <row r="18" spans="1:17">
      <c r="A18" s="14" t="str">
        <f>IF(C18="","","KPI-"&amp;TEXT(ROW()-3,"000"))</f>
        <v/>
      </c>
      <c r="B18" s="13"/>
      <c r="C18" s="13"/>
      <c r="D18" s="12"/>
      <c r="E18" s="12"/>
      <c r="F18" s="13"/>
      <c r="G18" s="13"/>
      <c r="H18" s="13"/>
      <c r="I18" s="13"/>
      <c r="J18" s="13"/>
      <c r="K18" s="15"/>
      <c r="L18" s="15"/>
      <c r="M18" s="15"/>
      <c r="N18" s="15"/>
      <c r="O18" s="14" t="str">
        <f>IF(OR(N18="",J18="",K18="",L18="",M18=""),"",IF(J18="Higher is better",IF(N18&gt;=K18,"Green",IF(N18&gt;=L18,"Amber","Red")),IF(N18&lt;=K18,"Green",IF(N18&lt;=L18,"Amber","Red"))))</f>
        <v/>
      </c>
      <c r="P18" s="13"/>
      <c r="Q18" s="12"/>
    </row>
    <row r="19" spans="1:17">
      <c r="A19" s="14" t="str">
        <f>IF(C19="","","KPI-"&amp;TEXT(ROW()-3,"000"))</f>
        <v/>
      </c>
      <c r="B19" s="13"/>
      <c r="C19" s="13"/>
      <c r="D19" s="12"/>
      <c r="E19" s="12"/>
      <c r="F19" s="13"/>
      <c r="G19" s="13"/>
      <c r="H19" s="13"/>
      <c r="I19" s="13"/>
      <c r="J19" s="13"/>
      <c r="K19" s="15"/>
      <c r="L19" s="15"/>
      <c r="M19" s="15"/>
      <c r="N19" s="15"/>
      <c r="O19" s="14" t="str">
        <f>IF(OR(N19="",J19="",K19="",L19="",M19=""),"",IF(J19="Higher is better",IF(N19&gt;=K19,"Green",IF(N19&gt;=L19,"Amber","Red")),IF(N19&lt;=K19,"Green",IF(N19&lt;=L19,"Amber","Red"))))</f>
        <v/>
      </c>
      <c r="P19" s="13"/>
      <c r="Q19" s="12"/>
    </row>
    <row r="20" spans="1:17">
      <c r="A20" s="14" t="str">
        <f>IF(C20="","","KPI-"&amp;TEXT(ROW()-3,"000"))</f>
        <v/>
      </c>
      <c r="B20" s="13"/>
      <c r="C20" s="13"/>
      <c r="D20" s="12"/>
      <c r="E20" s="12"/>
      <c r="F20" s="13"/>
      <c r="G20" s="13"/>
      <c r="H20" s="13"/>
      <c r="I20" s="13"/>
      <c r="J20" s="13"/>
      <c r="K20" s="15"/>
      <c r="L20" s="15"/>
      <c r="M20" s="15"/>
      <c r="N20" s="15"/>
      <c r="O20" s="14" t="str">
        <f>IF(OR(N20="",J20="",K20="",L20="",M20=""),"",IF(J20="Higher is better",IF(N20&gt;=K20,"Green",IF(N20&gt;=L20,"Amber","Red")),IF(N20&lt;=K20,"Green",IF(N20&lt;=L20,"Amber","Red"))))</f>
        <v/>
      </c>
      <c r="P20" s="13"/>
      <c r="Q20" s="12"/>
    </row>
    <row r="21" spans="1:17">
      <c r="A21" s="14" t="str">
        <f>IF(C21="","","KPI-"&amp;TEXT(ROW()-3,"000"))</f>
        <v/>
      </c>
      <c r="B21" s="13"/>
      <c r="C21" s="13"/>
      <c r="D21" s="12"/>
      <c r="E21" s="12"/>
      <c r="F21" s="13"/>
      <c r="G21" s="13"/>
      <c r="H21" s="13"/>
      <c r="I21" s="13"/>
      <c r="J21" s="13"/>
      <c r="K21" s="15"/>
      <c r="L21" s="15"/>
      <c r="M21" s="15"/>
      <c r="N21" s="15"/>
      <c r="O21" s="14" t="str">
        <f>IF(OR(N21="",J21="",K21="",L21="",M21=""),"",IF(J21="Higher is better",IF(N21&gt;=K21,"Green",IF(N21&gt;=L21,"Amber","Red")),IF(N21&lt;=K21,"Green",IF(N21&lt;=L21,"Amber","Red"))))</f>
        <v/>
      </c>
      <c r="P21" s="13"/>
      <c r="Q21" s="12"/>
    </row>
    <row r="22" spans="1:17">
      <c r="A22" s="14" t="str">
        <f>IF(C22="","","KPI-"&amp;TEXT(ROW()-3,"000"))</f>
        <v/>
      </c>
      <c r="B22" s="13"/>
      <c r="C22" s="13"/>
      <c r="D22" s="12"/>
      <c r="E22" s="12"/>
      <c r="F22" s="13"/>
      <c r="G22" s="13"/>
      <c r="H22" s="13"/>
      <c r="I22" s="13"/>
      <c r="J22" s="13"/>
      <c r="K22" s="15"/>
      <c r="L22" s="15"/>
      <c r="M22" s="15"/>
      <c r="N22" s="15"/>
      <c r="O22" s="14" t="str">
        <f>IF(OR(N22="",J22="",K22="",L22="",M22=""),"",IF(J22="Higher is better",IF(N22&gt;=K22,"Green",IF(N22&gt;=L22,"Amber","Red")),IF(N22&lt;=K22,"Green",IF(N22&lt;=L22,"Amber","Red"))))</f>
        <v/>
      </c>
      <c r="P22" s="13"/>
      <c r="Q22" s="12"/>
    </row>
    <row r="23" spans="1:17">
      <c r="A23" s="14" t="str">
        <f>IF(C23="","","KPI-"&amp;TEXT(ROW()-3,"000"))</f>
        <v/>
      </c>
      <c r="B23" s="13"/>
      <c r="C23" s="13"/>
      <c r="D23" s="12"/>
      <c r="E23" s="12"/>
      <c r="F23" s="13"/>
      <c r="G23" s="13"/>
      <c r="H23" s="13"/>
      <c r="I23" s="13"/>
      <c r="J23" s="13"/>
      <c r="K23" s="15"/>
      <c r="L23" s="15"/>
      <c r="M23" s="15"/>
      <c r="N23" s="15"/>
      <c r="O23" s="14" t="str">
        <f>IF(OR(N23="",J23="",K23="",L23="",M23=""),"",IF(J23="Higher is better",IF(N23&gt;=K23,"Green",IF(N23&gt;=L23,"Amber","Red")),IF(N23&lt;=K23,"Green",IF(N23&lt;=L23,"Amber","Red"))))</f>
        <v/>
      </c>
      <c r="P23" s="13"/>
      <c r="Q23" s="12"/>
    </row>
    <row r="24" spans="1:17">
      <c r="A24" s="14" t="str">
        <f>IF(C24="","","KPI-"&amp;TEXT(ROW()-3,"000"))</f>
        <v/>
      </c>
      <c r="B24" s="13"/>
      <c r="C24" s="13"/>
      <c r="D24" s="12"/>
      <c r="E24" s="12"/>
      <c r="F24" s="13"/>
      <c r="G24" s="13"/>
      <c r="H24" s="13"/>
      <c r="I24" s="13"/>
      <c r="J24" s="13"/>
      <c r="K24" s="15"/>
      <c r="L24" s="15"/>
      <c r="M24" s="15"/>
      <c r="N24" s="15"/>
      <c r="O24" s="14" t="str">
        <f>IF(OR(N24="",J24="",K24="",L24="",M24=""),"",IF(J24="Higher is better",IF(N24&gt;=K24,"Green",IF(N24&gt;=L24,"Amber","Red")),IF(N24&lt;=K24,"Green",IF(N24&lt;=L24,"Amber","Red"))))</f>
        <v/>
      </c>
      <c r="P24" s="13"/>
      <c r="Q24" s="12"/>
    </row>
    <row r="25" spans="1:17">
      <c r="A25" s="14" t="str">
        <f>IF(C25="","","KPI-"&amp;TEXT(ROW()-3,"000"))</f>
        <v/>
      </c>
      <c r="B25" s="13"/>
      <c r="C25" s="13"/>
      <c r="D25" s="12"/>
      <c r="E25" s="12"/>
      <c r="F25" s="13"/>
      <c r="G25" s="13"/>
      <c r="H25" s="13"/>
      <c r="I25" s="13"/>
      <c r="J25" s="13"/>
      <c r="K25" s="15"/>
      <c r="L25" s="15"/>
      <c r="M25" s="15"/>
      <c r="N25" s="15"/>
      <c r="O25" s="14" t="str">
        <f>IF(OR(N25="",J25="",K25="",L25="",M25=""),"",IF(J25="Higher is better",IF(N25&gt;=K25,"Green",IF(N25&gt;=L25,"Amber","Red")),IF(N25&lt;=K25,"Green",IF(N25&lt;=L25,"Amber","Red"))))</f>
        <v/>
      </c>
      <c r="P25" s="13"/>
      <c r="Q25" s="12"/>
    </row>
    <row r="26" spans="1:17">
      <c r="A26" s="14" t="str">
        <f>IF(C26="","","KPI-"&amp;TEXT(ROW()-3,"000"))</f>
        <v/>
      </c>
      <c r="B26" s="13"/>
      <c r="C26" s="13"/>
      <c r="D26" s="12"/>
      <c r="E26" s="12"/>
      <c r="F26" s="13"/>
      <c r="G26" s="13"/>
      <c r="H26" s="13"/>
      <c r="I26" s="13"/>
      <c r="J26" s="13"/>
      <c r="K26" s="15"/>
      <c r="L26" s="15"/>
      <c r="M26" s="15"/>
      <c r="N26" s="15"/>
      <c r="O26" s="14" t="str">
        <f>IF(OR(N26="",J26="",K26="",L26="",M26=""),"",IF(J26="Higher is better",IF(N26&gt;=K26,"Green",IF(N26&gt;=L26,"Amber","Red")),IF(N26&lt;=K26,"Green",IF(N26&lt;=L26,"Amber","Red"))))</f>
        <v/>
      </c>
      <c r="P26" s="13"/>
      <c r="Q26" s="12"/>
    </row>
    <row r="27" spans="1:17">
      <c r="A27" s="14" t="str">
        <f>IF(C27="","","KPI-"&amp;TEXT(ROW()-3,"000"))</f>
        <v/>
      </c>
      <c r="B27" s="13"/>
      <c r="C27" s="13"/>
      <c r="D27" s="12"/>
      <c r="E27" s="12"/>
      <c r="F27" s="13"/>
      <c r="G27" s="13"/>
      <c r="H27" s="13"/>
      <c r="I27" s="13"/>
      <c r="J27" s="13"/>
      <c r="K27" s="15"/>
      <c r="L27" s="15"/>
      <c r="M27" s="15"/>
      <c r="N27" s="15"/>
      <c r="O27" s="14" t="str">
        <f>IF(OR(N27="",J27="",K27="",L27="",M27=""),"",IF(J27="Higher is better",IF(N27&gt;=K27,"Green",IF(N27&gt;=L27,"Amber","Red")),IF(N27&lt;=K27,"Green",IF(N27&lt;=L27,"Amber","Red"))))</f>
        <v/>
      </c>
      <c r="P27" s="13"/>
      <c r="Q27" s="12"/>
    </row>
    <row r="28" spans="1:17">
      <c r="A28" s="14" t="str">
        <f>IF(C28="","","KPI-"&amp;TEXT(ROW()-3,"000"))</f>
        <v/>
      </c>
      <c r="B28" s="13"/>
      <c r="C28" s="13"/>
      <c r="D28" s="12"/>
      <c r="E28" s="12"/>
      <c r="F28" s="13"/>
      <c r="G28" s="13"/>
      <c r="H28" s="13"/>
      <c r="I28" s="13"/>
      <c r="J28" s="13"/>
      <c r="K28" s="15"/>
      <c r="L28" s="15"/>
      <c r="M28" s="15"/>
      <c r="N28" s="15"/>
      <c r="O28" s="14" t="str">
        <f>IF(OR(N28="",J28="",K28="",L28="",M28=""),"",IF(J28="Higher is better",IF(N28&gt;=K28,"Green",IF(N28&gt;=L28,"Amber","Red")),IF(N28&lt;=K28,"Green",IF(N28&lt;=L28,"Amber","Red"))))</f>
        <v/>
      </c>
      <c r="P28" s="13"/>
      <c r="Q28" s="12"/>
    </row>
    <row r="29" spans="1:17">
      <c r="A29" s="14" t="str">
        <f>IF(C29="","","KPI-"&amp;TEXT(ROW()-3,"000"))</f>
        <v/>
      </c>
      <c r="B29" s="13"/>
      <c r="C29" s="13"/>
      <c r="D29" s="12"/>
      <c r="E29" s="12"/>
      <c r="F29" s="13"/>
      <c r="G29" s="13"/>
      <c r="H29" s="13"/>
      <c r="I29" s="13"/>
      <c r="J29" s="13"/>
      <c r="K29" s="15"/>
      <c r="L29" s="15"/>
      <c r="M29" s="15"/>
      <c r="N29" s="15"/>
      <c r="O29" s="14" t="str">
        <f>IF(OR(N29="",J29="",K29="",L29="",M29=""),"",IF(J29="Higher is better",IF(N29&gt;=K29,"Green",IF(N29&gt;=L29,"Amber","Red")),IF(N29&lt;=K29,"Green",IF(N29&lt;=L29,"Amber","Red"))))</f>
        <v/>
      </c>
      <c r="P29" s="13"/>
      <c r="Q29" s="12"/>
    </row>
    <row r="30" spans="1:17">
      <c r="A30" s="14" t="str">
        <f>IF(C30="","","KPI-"&amp;TEXT(ROW()-3,"000"))</f>
        <v/>
      </c>
      <c r="B30" s="13"/>
      <c r="C30" s="13"/>
      <c r="D30" s="12"/>
      <c r="E30" s="12"/>
      <c r="F30" s="13"/>
      <c r="G30" s="13"/>
      <c r="H30" s="13"/>
      <c r="I30" s="13"/>
      <c r="J30" s="13"/>
      <c r="K30" s="15"/>
      <c r="L30" s="15"/>
      <c r="M30" s="15"/>
      <c r="N30" s="15"/>
      <c r="O30" s="14" t="str">
        <f>IF(OR(N30="",J30="",K30="",L30="",M30=""),"",IF(J30="Higher is better",IF(N30&gt;=K30,"Green",IF(N30&gt;=L30,"Amber","Red")),IF(N30&lt;=K30,"Green",IF(N30&lt;=L30,"Amber","Red"))))</f>
        <v/>
      </c>
      <c r="P30" s="13"/>
      <c r="Q30" s="12"/>
    </row>
    <row r="31" spans="1:17">
      <c r="A31" s="14" t="str">
        <f>IF(C31="","","KPI-"&amp;TEXT(ROW()-3,"000"))</f>
        <v/>
      </c>
      <c r="B31" s="13"/>
      <c r="C31" s="13"/>
      <c r="D31" s="12"/>
      <c r="E31" s="12"/>
      <c r="F31" s="13"/>
      <c r="G31" s="13"/>
      <c r="H31" s="13"/>
      <c r="I31" s="13"/>
      <c r="J31" s="13"/>
      <c r="K31" s="15"/>
      <c r="L31" s="15"/>
      <c r="M31" s="15"/>
      <c r="N31" s="15"/>
      <c r="O31" s="14" t="str">
        <f>IF(OR(N31="",J31="",K31="",L31="",M31=""),"",IF(J31="Higher is better",IF(N31&gt;=K31,"Green",IF(N31&gt;=L31,"Amber","Red")),IF(N31&lt;=K31,"Green",IF(N31&lt;=L31,"Amber","Red"))))</f>
        <v/>
      </c>
      <c r="P31" s="13"/>
      <c r="Q31" s="12"/>
    </row>
    <row r="32" spans="1:17">
      <c r="A32" s="14" t="str">
        <f>IF(C32="","","KPI-"&amp;TEXT(ROW()-3,"000"))</f>
        <v/>
      </c>
      <c r="B32" s="13"/>
      <c r="C32" s="13"/>
      <c r="D32" s="12"/>
      <c r="E32" s="12"/>
      <c r="F32" s="13"/>
      <c r="G32" s="13"/>
      <c r="H32" s="13"/>
      <c r="I32" s="13"/>
      <c r="J32" s="13"/>
      <c r="K32" s="15"/>
      <c r="L32" s="15"/>
      <c r="M32" s="15"/>
      <c r="N32" s="15"/>
      <c r="O32" s="14" t="str">
        <f>IF(OR(N32="",J32="",K32="",L32="",M32=""),"",IF(J32="Higher is better",IF(N32&gt;=K32,"Green",IF(N32&gt;=L32,"Amber","Red")),IF(N32&lt;=K32,"Green",IF(N32&lt;=L32,"Amber","Red"))))</f>
        <v/>
      </c>
      <c r="P32" s="13"/>
      <c r="Q32" s="12"/>
    </row>
    <row r="33" spans="1:17">
      <c r="A33" s="14" t="str">
        <f>IF(C33="","","KPI-"&amp;TEXT(ROW()-3,"000"))</f>
        <v/>
      </c>
      <c r="B33" s="13"/>
      <c r="C33" s="13"/>
      <c r="D33" s="12"/>
      <c r="E33" s="12"/>
      <c r="F33" s="13"/>
      <c r="G33" s="13"/>
      <c r="H33" s="13"/>
      <c r="I33" s="13"/>
      <c r="J33" s="13"/>
      <c r="K33" s="15"/>
      <c r="L33" s="15"/>
      <c r="M33" s="15"/>
      <c r="N33" s="15"/>
      <c r="O33" s="14" t="str">
        <f>IF(OR(N33="",J33="",K33="",L33="",M33=""),"",IF(J33="Higher is better",IF(N33&gt;=K33,"Green",IF(N33&gt;=L33,"Amber","Red")),IF(N33&lt;=K33,"Green",IF(N33&lt;=L33,"Amber","Red"))))</f>
        <v/>
      </c>
      <c r="P33" s="13"/>
      <c r="Q33" s="12"/>
    </row>
    <row r="34" spans="1:17">
      <c r="A34" s="14" t="str">
        <f>IF(C34="","","KPI-"&amp;TEXT(ROW()-3,"000"))</f>
        <v/>
      </c>
      <c r="B34" s="13"/>
      <c r="C34" s="13"/>
      <c r="D34" s="12"/>
      <c r="E34" s="12"/>
      <c r="F34" s="13"/>
      <c r="G34" s="13"/>
      <c r="H34" s="13"/>
      <c r="I34" s="13"/>
      <c r="J34" s="13"/>
      <c r="K34" s="15"/>
      <c r="L34" s="15"/>
      <c r="M34" s="15"/>
      <c r="N34" s="15"/>
      <c r="O34" s="14" t="str">
        <f>IF(OR(N34="",J34="",K34="",L34="",M34=""),"",IF(J34="Higher is better",IF(N34&gt;=K34,"Green",IF(N34&gt;=L34,"Amber","Red")),IF(N34&lt;=K34,"Green",IF(N34&lt;=L34,"Amber","Red"))))</f>
        <v/>
      </c>
      <c r="P34" s="13"/>
      <c r="Q34" s="12"/>
    </row>
    <row r="35" spans="1:17">
      <c r="A35" s="14" t="str">
        <f>IF(C35="","","KPI-"&amp;TEXT(ROW()-3,"000"))</f>
        <v/>
      </c>
      <c r="B35" s="13"/>
      <c r="C35" s="13"/>
      <c r="D35" s="12"/>
      <c r="E35" s="12"/>
      <c r="F35" s="13"/>
      <c r="G35" s="13"/>
      <c r="H35" s="13"/>
      <c r="I35" s="13"/>
      <c r="J35" s="13"/>
      <c r="K35" s="15"/>
      <c r="L35" s="15"/>
      <c r="M35" s="15"/>
      <c r="N35" s="15"/>
      <c r="O35" s="14" t="str">
        <f>IF(OR(N35="",J35="",K35="",L35="",M35=""),"",IF(J35="Higher is better",IF(N35&gt;=K35,"Green",IF(N35&gt;=L35,"Amber","Red")),IF(N35&lt;=K35,"Green",IF(N35&lt;=L35,"Amber","Red"))))</f>
        <v/>
      </c>
      <c r="P35" s="13"/>
      <c r="Q35" s="12"/>
    </row>
    <row r="36" spans="1:17">
      <c r="A36" s="14" t="str">
        <f>IF(C36="","","KPI-"&amp;TEXT(ROW()-3,"000"))</f>
        <v/>
      </c>
      <c r="B36" s="13"/>
      <c r="C36" s="13"/>
      <c r="D36" s="12"/>
      <c r="E36" s="12"/>
      <c r="F36" s="13"/>
      <c r="G36" s="13"/>
      <c r="H36" s="13"/>
      <c r="I36" s="13"/>
      <c r="J36" s="13"/>
      <c r="K36" s="15"/>
      <c r="L36" s="15"/>
      <c r="M36" s="15"/>
      <c r="N36" s="15"/>
      <c r="O36" s="14" t="str">
        <f>IF(OR(N36="",J36="",K36="",L36="",M36=""),"",IF(J36="Higher is better",IF(N36&gt;=K36,"Green",IF(N36&gt;=L36,"Amber","Red")),IF(N36&lt;=K36,"Green",IF(N36&lt;=L36,"Amber","Red"))))</f>
        <v/>
      </c>
      <c r="P36" s="13"/>
      <c r="Q36" s="12"/>
    </row>
    <row r="37" spans="1:17">
      <c r="A37" s="14" t="str">
        <f>IF(C37="","","KPI-"&amp;TEXT(ROW()-3,"000"))</f>
        <v/>
      </c>
      <c r="B37" s="13"/>
      <c r="C37" s="13"/>
      <c r="D37" s="12"/>
      <c r="E37" s="12"/>
      <c r="F37" s="13"/>
      <c r="G37" s="13"/>
      <c r="H37" s="13"/>
      <c r="I37" s="13"/>
      <c r="J37" s="13"/>
      <c r="K37" s="15"/>
      <c r="L37" s="15"/>
      <c r="M37" s="15"/>
      <c r="N37" s="15"/>
      <c r="O37" s="14" t="str">
        <f>IF(OR(N37="",J37="",K37="",L37="",M37=""),"",IF(J37="Higher is better",IF(N37&gt;=K37,"Green",IF(N37&gt;=L37,"Amber","Red")),IF(N37&lt;=K37,"Green",IF(N37&lt;=L37,"Amber","Red"))))</f>
        <v/>
      </c>
      <c r="P37" s="13"/>
      <c r="Q37" s="12"/>
    </row>
    <row r="38" spans="1:17">
      <c r="A38" s="14" t="str">
        <f>IF(C38="","","KPI-"&amp;TEXT(ROW()-3,"000"))</f>
        <v/>
      </c>
      <c r="B38" s="13"/>
      <c r="C38" s="13"/>
      <c r="D38" s="12"/>
      <c r="E38" s="12"/>
      <c r="F38" s="13"/>
      <c r="G38" s="13"/>
      <c r="H38" s="13"/>
      <c r="I38" s="13"/>
      <c r="J38" s="13"/>
      <c r="K38" s="15"/>
      <c r="L38" s="15"/>
      <c r="M38" s="15"/>
      <c r="N38" s="15"/>
      <c r="O38" s="14" t="str">
        <f>IF(OR(N38="",J38="",K38="",L38="",M38=""),"",IF(J38="Higher is better",IF(N38&gt;=K38,"Green",IF(N38&gt;=L38,"Amber","Red")),IF(N38&lt;=K38,"Green",IF(N38&lt;=L38,"Amber","Red"))))</f>
        <v/>
      </c>
      <c r="P38" s="13"/>
      <c r="Q38" s="12"/>
    </row>
    <row r="39" spans="1:17">
      <c r="A39" s="14" t="str">
        <f>IF(C39="","","KPI-"&amp;TEXT(ROW()-3,"000"))</f>
        <v/>
      </c>
      <c r="B39" s="13"/>
      <c r="C39" s="13"/>
      <c r="D39" s="12"/>
      <c r="E39" s="12"/>
      <c r="F39" s="13"/>
      <c r="G39" s="13"/>
      <c r="H39" s="13"/>
      <c r="I39" s="13"/>
      <c r="J39" s="13"/>
      <c r="K39" s="15"/>
      <c r="L39" s="15"/>
      <c r="M39" s="15"/>
      <c r="N39" s="15"/>
      <c r="O39" s="14" t="str">
        <f>IF(OR(N39="",J39="",K39="",L39="",M39=""),"",IF(J39="Higher is better",IF(N39&gt;=K39,"Green",IF(N39&gt;=L39,"Amber","Red")),IF(N39&lt;=K39,"Green",IF(N39&lt;=L39,"Amber","Red"))))</f>
        <v/>
      </c>
      <c r="P39" s="13"/>
      <c r="Q39" s="12"/>
    </row>
    <row r="40" spans="1:17">
      <c r="A40" s="14" t="str">
        <f>IF(C40="","","KPI-"&amp;TEXT(ROW()-3,"000"))</f>
        <v/>
      </c>
      <c r="B40" s="13"/>
      <c r="C40" s="13"/>
      <c r="D40" s="12"/>
      <c r="E40" s="12"/>
      <c r="F40" s="13"/>
      <c r="G40" s="13"/>
      <c r="H40" s="13"/>
      <c r="I40" s="13"/>
      <c r="J40" s="13"/>
      <c r="K40" s="15"/>
      <c r="L40" s="15"/>
      <c r="M40" s="15"/>
      <c r="N40" s="15"/>
      <c r="O40" s="14" t="str">
        <f>IF(OR(N40="",J40="",K40="",L40="",M40=""),"",IF(J40="Higher is better",IF(N40&gt;=K40,"Green",IF(N40&gt;=L40,"Amber","Red")),IF(N40&lt;=K40,"Green",IF(N40&lt;=L40,"Amber","Red"))))</f>
        <v/>
      </c>
      <c r="P40" s="13"/>
      <c r="Q40" s="12"/>
    </row>
    <row r="41" spans="1:17">
      <c r="A41" s="14" t="str">
        <f>IF(C41="","","KPI-"&amp;TEXT(ROW()-3,"000"))</f>
        <v/>
      </c>
      <c r="B41" s="13"/>
      <c r="C41" s="13"/>
      <c r="D41" s="12"/>
      <c r="E41" s="12"/>
      <c r="F41" s="13"/>
      <c r="G41" s="13"/>
      <c r="H41" s="13"/>
      <c r="I41" s="13"/>
      <c r="J41" s="13"/>
      <c r="K41" s="15"/>
      <c r="L41" s="15"/>
      <c r="M41" s="15"/>
      <c r="N41" s="15"/>
      <c r="O41" s="14" t="str">
        <f>IF(OR(N41="",J41="",K41="",L41="",M41=""),"",IF(J41="Higher is better",IF(N41&gt;=K41,"Green",IF(N41&gt;=L41,"Amber","Red")),IF(N41&lt;=K41,"Green",IF(N41&lt;=L41,"Amber","Red"))))</f>
        <v/>
      </c>
      <c r="P41" s="13"/>
      <c r="Q41" s="12"/>
    </row>
    <row r="42" spans="1:17">
      <c r="A42" s="14" t="str">
        <f>IF(C42="","","KPI-"&amp;TEXT(ROW()-3,"000"))</f>
        <v/>
      </c>
      <c r="B42" s="13"/>
      <c r="C42" s="13"/>
      <c r="D42" s="12"/>
      <c r="E42" s="12"/>
      <c r="F42" s="13"/>
      <c r="G42" s="13"/>
      <c r="H42" s="13"/>
      <c r="I42" s="13"/>
      <c r="J42" s="13"/>
      <c r="K42" s="15"/>
      <c r="L42" s="15"/>
      <c r="M42" s="15"/>
      <c r="N42" s="15"/>
      <c r="O42" s="14" t="str">
        <f>IF(OR(N42="",J42="",K42="",L42="",M42=""),"",IF(J42="Higher is better",IF(N42&gt;=K42,"Green",IF(N42&gt;=L42,"Amber","Red")),IF(N42&lt;=K42,"Green",IF(N42&lt;=L42,"Amber","Red"))))</f>
        <v/>
      </c>
      <c r="P42" s="13"/>
      <c r="Q42" s="12"/>
    </row>
    <row r="43" spans="1:17">
      <c r="A43" s="14" t="str">
        <f>IF(C43="","","KPI-"&amp;TEXT(ROW()-3,"000"))</f>
        <v/>
      </c>
      <c r="B43" s="13"/>
      <c r="C43" s="13"/>
      <c r="D43" s="12"/>
      <c r="E43" s="12"/>
      <c r="F43" s="13"/>
      <c r="G43" s="13"/>
      <c r="H43" s="13"/>
      <c r="I43" s="13"/>
      <c r="J43" s="13"/>
      <c r="K43" s="15"/>
      <c r="L43" s="15"/>
      <c r="M43" s="15"/>
      <c r="N43" s="15"/>
      <c r="O43" s="14" t="str">
        <f>IF(OR(N43="",J43="",K43="",L43="",M43=""),"",IF(J43="Higher is better",IF(N43&gt;=K43,"Green",IF(N43&gt;=L43,"Amber","Red")),IF(N43&lt;=K43,"Green",IF(N43&lt;=L43,"Amber","Red"))))</f>
        <v/>
      </c>
      <c r="P43" s="13"/>
      <c r="Q43" s="12"/>
    </row>
  </sheetData>
  <conditionalFormatting sqref="O4:O43">
    <cfRule type="cellIs" dxfId="2" priority="2" operator="equal">
      <formula>"Green"</formula>
    </cfRule>
    <cfRule type="cellIs" dxfId="1" priority="3" operator="equal">
      <formula>"Amber"</formula>
    </cfRule>
    <cfRule type="cellIs" dxfId="0" priority="4" operator="equal">
      <formula>"Red"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0000000}">
          <x14:formula1>
            <xm:f>Lists!$A$2:$A$9</xm:f>
          </x14:formula1>
          <x14:formula2>
            <xm:f>0</xm:f>
          </x14:formula2>
          <xm:sqref>B4:B43</xm:sqref>
        </x14:dataValidation>
        <x14:dataValidation type="list" allowBlank="1" xr:uid="{00000000-0002-0000-0300-000001000000}">
          <x14:formula1>
            <xm:f>Lists!$B$2:$B$6</xm:f>
          </x14:formula1>
          <x14:formula2>
            <xm:f>0</xm:f>
          </x14:formula2>
          <xm:sqref>H4:H43</xm:sqref>
        </x14:dataValidation>
        <x14:dataValidation type="list" allowBlank="1" xr:uid="{00000000-0002-0000-0300-000002000000}">
          <x14:formula1>
            <xm:f>Lists!$C$2:$C$3</xm:f>
          </x14:formula1>
          <x14:formula2>
            <xm:f>0</xm:f>
          </x14:formula2>
          <xm:sqref>J4:J43</xm:sqref>
        </x14:dataValidation>
        <x14:dataValidation type="list" allowBlank="1" xr:uid="{00000000-0002-0000-0300-000003000000}">
          <x14:formula1>
            <xm:f>Lists!$D$2:$D$5</xm:f>
          </x14:formula1>
          <x14:formula2>
            <xm:f>0</xm:f>
          </x14:formula2>
          <xm:sqref>P4:P43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24" customWidth="1"/>
    <col min="2" max="2" width="14" customWidth="1"/>
    <col min="3" max="3" width="12" customWidth="1"/>
    <col min="4" max="6" width="10" customWidth="1"/>
    <col min="7" max="7" width="14" customWidth="1"/>
    <col min="8" max="8" width="16" customWidth="1"/>
  </cols>
  <sheetData>
    <row r="1" spans="1:8" ht="19.7">
      <c r="A1" s="1" t="s">
        <v>71</v>
      </c>
    </row>
    <row r="2" spans="1:8">
      <c r="A2" s="2" t="s">
        <v>72</v>
      </c>
    </row>
    <row r="4" spans="1:8">
      <c r="A4" s="11" t="s">
        <v>19</v>
      </c>
      <c r="B4" s="11" t="s">
        <v>73</v>
      </c>
      <c r="C4" s="11" t="s">
        <v>74</v>
      </c>
      <c r="D4" s="11" t="s">
        <v>75</v>
      </c>
      <c r="E4" s="11" t="s">
        <v>76</v>
      </c>
      <c r="F4" s="11" t="s">
        <v>77</v>
      </c>
      <c r="G4" s="11" t="s">
        <v>78</v>
      </c>
      <c r="H4" s="11" t="s">
        <v>79</v>
      </c>
    </row>
    <row r="5" spans="1:8">
      <c r="A5" s="16" t="s">
        <v>24</v>
      </c>
      <c r="B5" s="17"/>
      <c r="C5" s="14">
        <f>COUNTIF('KPI Log'!$B$4:$B$43,$A5)</f>
        <v>0</v>
      </c>
      <c r="D5" s="14">
        <f>COUNTIFS('KPI Log'!$B$4:$B$43,$A5,'KPI Log'!$O$4:$O$43,"Green")</f>
        <v>0</v>
      </c>
      <c r="E5" s="14">
        <f>COUNTIFS('KPI Log'!$B$4:$B$43,$A5,'KPI Log'!$O$4:$O$43,"Amber")</f>
        <v>0</v>
      </c>
      <c r="F5" s="14">
        <f>COUNTIFS('KPI Log'!$B$4:$B$43,$A5,'KPI Log'!$O$4:$O$43,"Red")</f>
        <v>0</v>
      </c>
      <c r="G5" s="18" t="str">
        <f>IF(C5=0,"-",D5/C5)</f>
        <v>-</v>
      </c>
      <c r="H5" s="19">
        <f>IF(OR(B5="",C5=0),0,B5*G5)</f>
        <v>0</v>
      </c>
    </row>
    <row r="6" spans="1:8">
      <c r="A6" s="16" t="s">
        <v>29</v>
      </c>
      <c r="B6" s="17"/>
      <c r="C6" s="14">
        <f>COUNTIF('KPI Log'!$B$4:$B$43,$A6)</f>
        <v>0</v>
      </c>
      <c r="D6" s="14">
        <f>COUNTIFS('KPI Log'!$B$4:$B$43,$A6,'KPI Log'!$O$4:$O$43,"Green")</f>
        <v>0</v>
      </c>
      <c r="E6" s="14">
        <f>COUNTIFS('KPI Log'!$B$4:$B$43,$A6,'KPI Log'!$O$4:$O$43,"Amber")</f>
        <v>0</v>
      </c>
      <c r="F6" s="14">
        <f>COUNTIFS('KPI Log'!$B$4:$B$43,$A6,'KPI Log'!$O$4:$O$43,"Red")</f>
        <v>0</v>
      </c>
      <c r="G6" s="18" t="str">
        <f>IF(C6=0,"-",D6/C6)</f>
        <v>-</v>
      </c>
      <c r="H6" s="19">
        <f>IF(OR(B6="",C6=0),0,B6*G6)</f>
        <v>0</v>
      </c>
    </row>
    <row r="7" spans="1:8">
      <c r="A7" s="16" t="s">
        <v>34</v>
      </c>
      <c r="B7" s="17"/>
      <c r="C7" s="14">
        <f>COUNTIF('KPI Log'!$B$4:$B$43,$A7)</f>
        <v>0</v>
      </c>
      <c r="D7" s="14">
        <f>COUNTIFS('KPI Log'!$B$4:$B$43,$A7,'KPI Log'!$O$4:$O$43,"Green")</f>
        <v>0</v>
      </c>
      <c r="E7" s="14">
        <f>COUNTIFS('KPI Log'!$B$4:$B$43,$A7,'KPI Log'!$O$4:$O$43,"Amber")</f>
        <v>0</v>
      </c>
      <c r="F7" s="14">
        <f>COUNTIFS('KPI Log'!$B$4:$B$43,$A7,'KPI Log'!$O$4:$O$43,"Red")</f>
        <v>0</v>
      </c>
      <c r="G7" s="18" t="str">
        <f>IF(C7=0,"-",D7/C7)</f>
        <v>-</v>
      </c>
      <c r="H7" s="19">
        <f>IF(OR(B7="",C7=0),0,B7*G7)</f>
        <v>0</v>
      </c>
    </row>
    <row r="8" spans="1:8">
      <c r="A8" s="16" t="s">
        <v>38</v>
      </c>
      <c r="B8" s="17"/>
      <c r="C8" s="14">
        <f>COUNTIF('KPI Log'!$B$4:$B$43,$A8)</f>
        <v>0</v>
      </c>
      <c r="D8" s="14">
        <f>COUNTIFS('KPI Log'!$B$4:$B$43,$A8,'KPI Log'!$O$4:$O$43,"Green")</f>
        <v>0</v>
      </c>
      <c r="E8" s="14">
        <f>COUNTIFS('KPI Log'!$B$4:$B$43,$A8,'KPI Log'!$O$4:$O$43,"Amber")</f>
        <v>0</v>
      </c>
      <c r="F8" s="14">
        <f>COUNTIFS('KPI Log'!$B$4:$B$43,$A8,'KPI Log'!$O$4:$O$43,"Red")</f>
        <v>0</v>
      </c>
      <c r="G8" s="18" t="str">
        <f>IF(C8=0,"-",D8/C8)</f>
        <v>-</v>
      </c>
      <c r="H8" s="19">
        <f>IF(OR(B8="",C8=0),0,B8*G8)</f>
        <v>0</v>
      </c>
    </row>
    <row r="9" spans="1:8">
      <c r="A9" s="16" t="s">
        <v>42</v>
      </c>
      <c r="B9" s="17"/>
      <c r="C9" s="14">
        <f>COUNTIF('KPI Log'!$B$4:$B$43,$A9)</f>
        <v>0</v>
      </c>
      <c r="D9" s="14">
        <f>COUNTIFS('KPI Log'!$B$4:$B$43,$A9,'KPI Log'!$O$4:$O$43,"Green")</f>
        <v>0</v>
      </c>
      <c r="E9" s="14">
        <f>COUNTIFS('KPI Log'!$B$4:$B$43,$A9,'KPI Log'!$O$4:$O$43,"Amber")</f>
        <v>0</v>
      </c>
      <c r="F9" s="14">
        <f>COUNTIFS('KPI Log'!$B$4:$B$43,$A9,'KPI Log'!$O$4:$O$43,"Red")</f>
        <v>0</v>
      </c>
      <c r="G9" s="18" t="str">
        <f>IF(C9=0,"-",D9/C9)</f>
        <v>-</v>
      </c>
      <c r="H9" s="19">
        <f>IF(OR(B9="",C9=0),0,B9*G9)</f>
        <v>0</v>
      </c>
    </row>
    <row r="10" spans="1:8">
      <c r="A10" s="16" t="s">
        <v>45</v>
      </c>
      <c r="B10" s="17"/>
      <c r="C10" s="14">
        <f>COUNTIF('KPI Log'!$B$4:$B$43,$A10)</f>
        <v>0</v>
      </c>
      <c r="D10" s="14">
        <f>COUNTIFS('KPI Log'!$B$4:$B$43,$A10,'KPI Log'!$O$4:$O$43,"Green")</f>
        <v>0</v>
      </c>
      <c r="E10" s="14">
        <f>COUNTIFS('KPI Log'!$B$4:$B$43,$A10,'KPI Log'!$O$4:$O$43,"Amber")</f>
        <v>0</v>
      </c>
      <c r="F10" s="14">
        <f>COUNTIFS('KPI Log'!$B$4:$B$43,$A10,'KPI Log'!$O$4:$O$43,"Red")</f>
        <v>0</v>
      </c>
      <c r="G10" s="18" t="str">
        <f>IF(C10=0,"-",D10/C10)</f>
        <v>-</v>
      </c>
      <c r="H10" s="19">
        <f>IF(OR(B10="",C10=0),0,B10*G10)</f>
        <v>0</v>
      </c>
    </row>
    <row r="11" spans="1:8">
      <c r="A11" s="16" t="s">
        <v>46</v>
      </c>
      <c r="B11" s="17"/>
      <c r="C11" s="14">
        <f>COUNTIF('KPI Log'!$B$4:$B$43,$A11)</f>
        <v>0</v>
      </c>
      <c r="D11" s="14">
        <f>COUNTIFS('KPI Log'!$B$4:$B$43,$A11,'KPI Log'!$O$4:$O$43,"Green")</f>
        <v>0</v>
      </c>
      <c r="E11" s="14">
        <f>COUNTIFS('KPI Log'!$B$4:$B$43,$A11,'KPI Log'!$O$4:$O$43,"Amber")</f>
        <v>0</v>
      </c>
      <c r="F11" s="14">
        <f>COUNTIFS('KPI Log'!$B$4:$B$43,$A11,'KPI Log'!$O$4:$O$43,"Red")</f>
        <v>0</v>
      </c>
      <c r="G11" s="18" t="str">
        <f>IF(C11=0,"-",D11/C11)</f>
        <v>-</v>
      </c>
      <c r="H11" s="19">
        <f>IF(OR(B11="",C11=0),0,B11*G11)</f>
        <v>0</v>
      </c>
    </row>
    <row r="12" spans="1:8">
      <c r="A12" s="16" t="s">
        <v>47</v>
      </c>
      <c r="B12" s="17"/>
      <c r="C12" s="14">
        <f>COUNTIF('KPI Log'!$B$4:$B$43,$A12)</f>
        <v>0</v>
      </c>
      <c r="D12" s="14">
        <f>COUNTIFS('KPI Log'!$B$4:$B$43,$A12,'KPI Log'!$O$4:$O$43,"Green")</f>
        <v>0</v>
      </c>
      <c r="E12" s="14">
        <f>COUNTIFS('KPI Log'!$B$4:$B$43,$A12,'KPI Log'!$O$4:$O$43,"Amber")</f>
        <v>0</v>
      </c>
      <c r="F12" s="14">
        <f>COUNTIFS('KPI Log'!$B$4:$B$43,$A12,'KPI Log'!$O$4:$O$43,"Red")</f>
        <v>0</v>
      </c>
      <c r="G12" s="18" t="str">
        <f>IF(C12=0,"-",D12/C12)</f>
        <v>-</v>
      </c>
      <c r="H12" s="19">
        <f>IF(OR(B12="",C12=0),0,B12*G12)</f>
        <v>0</v>
      </c>
    </row>
    <row r="13" spans="1:8">
      <c r="A13" s="20" t="s">
        <v>80</v>
      </c>
      <c r="B13" s="21">
        <f>SUM(B5:B12)</f>
        <v>0</v>
      </c>
      <c r="C13" s="22">
        <f>SUM(C5:C12)</f>
        <v>0</v>
      </c>
      <c r="D13" s="22">
        <f>SUM(D5:D12)</f>
        <v>0</v>
      </c>
      <c r="E13" s="22">
        <f>SUM(E5:E12)</f>
        <v>0</v>
      </c>
      <c r="F13" s="22">
        <f>SUM(F5:F12)</f>
        <v>0</v>
      </c>
      <c r="G13" s="23" t="str">
        <f>IF(C13=0,"-",D13/C13)</f>
        <v>-</v>
      </c>
      <c r="H13" s="24">
        <f>SUM(H5:H12)</f>
        <v>0</v>
      </c>
    </row>
    <row r="15" spans="1:8">
      <c r="A15" s="2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922E2066466747B06F5A2CB1EF004C" ma:contentTypeVersion="12" ma:contentTypeDescription="Create a new document." ma:contentTypeScope="" ma:versionID="031a2767ff50ac2aeb7997cb1dfed522">
  <xsd:schema xmlns:xsd="http://www.w3.org/2001/XMLSchema" xmlns:xs="http://www.w3.org/2001/XMLSchema" xmlns:p="http://schemas.microsoft.com/office/2006/metadata/properties" xmlns:ns2="e7e42320-c381-4d5c-a06d-fb941b9287c9" xmlns:ns3="e4cee1ae-901f-403b-af36-81ae1c6bd840" targetNamespace="http://schemas.microsoft.com/office/2006/metadata/properties" ma:root="true" ma:fieldsID="160ccc0bc4b8391b4323b42fe79fe202" ns2:_="" ns3:_="">
    <xsd:import namespace="e7e42320-c381-4d5c-a06d-fb941b9287c9"/>
    <xsd:import namespace="e4cee1ae-901f-403b-af36-81ae1c6bd8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42320-c381-4d5c-a06d-fb941b9287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19edae7-b79a-4a5e-b725-af92424e05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ee1ae-901f-403b-af36-81ae1c6bd84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2537be7-019f-49ec-95ad-57224fc3b453}" ma:internalName="TaxCatchAll" ma:showField="CatchAllData" ma:web="e4cee1ae-901f-403b-af36-81ae1c6bd8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e42320-c381-4d5c-a06d-fb941b9287c9">
      <Terms xmlns="http://schemas.microsoft.com/office/infopath/2007/PartnerControls"/>
    </lcf76f155ced4ddcb4097134ff3c332f>
    <TaxCatchAll xmlns="e4cee1ae-901f-403b-af36-81ae1c6bd840" xsi:nil="true"/>
  </documentManagement>
</p:properties>
</file>

<file path=customXml/itemProps1.xml><?xml version="1.0" encoding="utf-8"?>
<ds:datastoreItem xmlns:ds="http://schemas.openxmlformats.org/officeDocument/2006/customXml" ds:itemID="{C64C2652-AB84-49CD-AF2F-9991FFE8BEFC}"/>
</file>

<file path=customXml/itemProps2.xml><?xml version="1.0" encoding="utf-8"?>
<ds:datastoreItem xmlns:ds="http://schemas.openxmlformats.org/officeDocument/2006/customXml" ds:itemID="{ABC04D88-E087-4EDF-930A-DA8AC49AAB31}"/>
</file>

<file path=customXml/itemProps3.xml><?xml version="1.0" encoding="utf-8"?>
<ds:datastoreItem xmlns:ds="http://schemas.openxmlformats.org/officeDocument/2006/customXml" ds:itemID="{B1791587-8749-4BF7-A6BF-CC27499FF9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2026-07-02T16:09:21Z</dcterms:created>
  <dcterms:modified xsi:type="dcterms:W3CDTF">2026-07-30T21:27:13Z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0x010100E3922E2066466747B06F5A2CB1EF004C</vt:lpwstr>
  </property>
  <property fmtid="{D5CDD505-2E9C-101B-9397-08002B2CF9AE}" pid="3" name="MediaServiceImageTags">
    <vt:lpwstr/>
  </property>
</Properties>
</file>