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3A12C734-B86C-45DD-90A4-0D1F2A4FF388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Instructions" sheetId="1" r:id="rId1"/>
    <sheet name="Lists" sheetId="2" r:id="rId2"/>
    <sheet name="Assumptions" sheetId="3" r:id="rId3"/>
    <sheet name="Cost Inputs" sheetId="4" r:id="rId4"/>
    <sheet name="Benefit Inputs" sheetId="5" r:id="rId5"/>
    <sheet name="ROI Summary" sheetId="6" r:id="rId6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9" i="6" l="1"/>
  <c r="F9" i="6"/>
  <c r="E9" i="6"/>
  <c r="D9" i="6"/>
  <c r="C9" i="6"/>
  <c r="B9" i="6"/>
  <c r="M35" i="5"/>
  <c r="L35" i="5"/>
  <c r="G6" i="6" s="1"/>
  <c r="K35" i="5"/>
  <c r="F6" i="6" s="1"/>
  <c r="J35" i="5"/>
  <c r="E6" i="6" s="1"/>
  <c r="I35" i="5"/>
  <c r="D6" i="6" s="1"/>
  <c r="H35" i="5"/>
  <c r="C6" i="6" s="1"/>
  <c r="G35" i="5"/>
  <c r="B6" i="6" s="1"/>
  <c r="L34" i="5"/>
  <c r="K34" i="5"/>
  <c r="J34" i="5"/>
  <c r="I34" i="5"/>
  <c r="H34" i="5"/>
  <c r="G34" i="5"/>
  <c r="M33" i="5"/>
  <c r="A33" i="5"/>
  <c r="M32" i="5"/>
  <c r="A32" i="5"/>
  <c r="M31" i="5"/>
  <c r="A31" i="5"/>
  <c r="M30" i="5"/>
  <c r="A30" i="5"/>
  <c r="M29" i="5"/>
  <c r="A29" i="5"/>
  <c r="M28" i="5"/>
  <c r="A28" i="5"/>
  <c r="M27" i="5"/>
  <c r="A27" i="5"/>
  <c r="M26" i="5"/>
  <c r="A26" i="5"/>
  <c r="M25" i="5"/>
  <c r="A25" i="5"/>
  <c r="M24" i="5"/>
  <c r="A24" i="5"/>
  <c r="M23" i="5"/>
  <c r="A23" i="5"/>
  <c r="M22" i="5"/>
  <c r="A22" i="5"/>
  <c r="M21" i="5"/>
  <c r="A21" i="5"/>
  <c r="M20" i="5"/>
  <c r="A20" i="5"/>
  <c r="M19" i="5"/>
  <c r="A19" i="5"/>
  <c r="M18" i="5"/>
  <c r="A18" i="5"/>
  <c r="M17" i="5"/>
  <c r="A17" i="5"/>
  <c r="M16" i="5"/>
  <c r="A16" i="5"/>
  <c r="M15" i="5"/>
  <c r="A15" i="5"/>
  <c r="M14" i="5"/>
  <c r="A14" i="5"/>
  <c r="M13" i="5"/>
  <c r="A13" i="5"/>
  <c r="M12" i="5"/>
  <c r="A12" i="5"/>
  <c r="M11" i="5"/>
  <c r="A11" i="5"/>
  <c r="M10" i="5"/>
  <c r="A10" i="5"/>
  <c r="M9" i="5"/>
  <c r="A9" i="5"/>
  <c r="M8" i="5"/>
  <c r="A8" i="5"/>
  <c r="M7" i="5"/>
  <c r="A7" i="5"/>
  <c r="M6" i="5"/>
  <c r="A6" i="5"/>
  <c r="M5" i="5"/>
  <c r="A5" i="5"/>
  <c r="M4" i="5"/>
  <c r="M34" i="5" s="1"/>
  <c r="A4" i="5"/>
  <c r="L34" i="4"/>
  <c r="G5" i="6" s="1"/>
  <c r="K34" i="4"/>
  <c r="F5" i="6" s="1"/>
  <c r="J34" i="4"/>
  <c r="E5" i="6" s="1"/>
  <c r="I34" i="4"/>
  <c r="D5" i="6" s="1"/>
  <c r="H34" i="4"/>
  <c r="C5" i="6" s="1"/>
  <c r="G34" i="4"/>
  <c r="B5" i="6" s="1"/>
  <c r="B15" i="6" s="1"/>
  <c r="B18" i="6" s="1"/>
  <c r="M33" i="4"/>
  <c r="A33" i="4"/>
  <c r="M32" i="4"/>
  <c r="A32" i="4"/>
  <c r="M31" i="4"/>
  <c r="A31" i="4"/>
  <c r="M30" i="4"/>
  <c r="A30" i="4"/>
  <c r="M29" i="4"/>
  <c r="A29" i="4"/>
  <c r="M28" i="4"/>
  <c r="A28" i="4"/>
  <c r="M27" i="4"/>
  <c r="A27" i="4"/>
  <c r="M26" i="4"/>
  <c r="A26" i="4"/>
  <c r="M25" i="4"/>
  <c r="A25" i="4"/>
  <c r="M24" i="4"/>
  <c r="A24" i="4"/>
  <c r="M23" i="4"/>
  <c r="A23" i="4"/>
  <c r="M22" i="4"/>
  <c r="A22" i="4"/>
  <c r="M21" i="4"/>
  <c r="A21" i="4"/>
  <c r="M20" i="4"/>
  <c r="A20" i="4"/>
  <c r="M19" i="4"/>
  <c r="A19" i="4"/>
  <c r="M18" i="4"/>
  <c r="A18" i="4"/>
  <c r="M17" i="4"/>
  <c r="A17" i="4"/>
  <c r="M16" i="4"/>
  <c r="A16" i="4"/>
  <c r="M15" i="4"/>
  <c r="A15" i="4"/>
  <c r="M14" i="4"/>
  <c r="A14" i="4"/>
  <c r="M13" i="4"/>
  <c r="A13" i="4"/>
  <c r="M12" i="4"/>
  <c r="A12" i="4"/>
  <c r="M11" i="4"/>
  <c r="A11" i="4"/>
  <c r="M10" i="4"/>
  <c r="A10" i="4"/>
  <c r="M9" i="4"/>
  <c r="A9" i="4"/>
  <c r="M8" i="4"/>
  <c r="A8" i="4"/>
  <c r="M7" i="4"/>
  <c r="A7" i="4"/>
  <c r="M6" i="4"/>
  <c r="A6" i="4"/>
  <c r="M5" i="4"/>
  <c r="A5" i="4"/>
  <c r="M4" i="4"/>
  <c r="M34" i="4" s="1"/>
  <c r="A4" i="4"/>
  <c r="B16" i="6" l="1"/>
  <c r="B17" i="6" s="1"/>
  <c r="B7" i="6"/>
  <c r="C7" i="6"/>
  <c r="D7" i="6"/>
  <c r="D10" i="6" s="1"/>
  <c r="E7" i="6"/>
  <c r="E10" i="6" s="1"/>
  <c r="F7" i="6"/>
  <c r="F10" i="6" s="1"/>
  <c r="G7" i="6"/>
  <c r="G10" i="6" s="1"/>
  <c r="B19" i="6" l="1"/>
  <c r="C10" i="6"/>
  <c r="B20" i="6"/>
  <c r="B10" i="6"/>
  <c r="B11" i="6" s="1"/>
  <c r="C11" i="6" s="1"/>
  <c r="D11" i="6" s="1"/>
  <c r="E11" i="6" s="1"/>
  <c r="F11" i="6" s="1"/>
  <c r="G11" i="6" s="1"/>
  <c r="B8" i="6"/>
  <c r="C8" i="6" s="1"/>
  <c r="D8" i="6" s="1"/>
  <c r="E8" i="6" s="1"/>
  <c r="F8" i="6" s="1"/>
  <c r="G8" i="6" s="1"/>
  <c r="B22" i="6"/>
  <c r="B21" i="6"/>
</calcChain>
</file>

<file path=xl/sharedStrings.xml><?xml version="1.0" encoding="utf-8"?>
<sst xmlns="http://schemas.openxmlformats.org/spreadsheetml/2006/main" count="123" uniqueCount="101">
  <si>
    <t>ROI Analysis Template</t>
  </si>
  <si>
    <t>A structured workbook for building the business case: capture costs and benefits, then calculate ROI, payback, NPV, and IRR.</t>
  </si>
  <si>
    <t>How to use this workbook</t>
  </si>
  <si>
    <t>1. Assumptions — set the discount rate, currency, and analysis start date (yellow inputs) that drive the ROI Summary.</t>
  </si>
  <si>
    <t>2. Cost Inputs — log every cost line item (one-time or recurring) by category, spread across Year 0-5.</t>
  </si>
  <si>
    <t xml:space="preserve">     • Year 0 = upfront/implementation costs incurred before benefits begin.</t>
  </si>
  <si>
    <t xml:space="preserve">     • Use Type to flag One-time vs. Recurring for easier review later.</t>
  </si>
  <si>
    <t>3. Benefit Inputs — log every benefit line item (hard $ savings or soft/qualitative-adjacent value) by category, Year 0-5.</t>
  </si>
  <si>
    <t xml:space="preserve">     • Hard benefits = quantifiable, auditable savings or revenue (e.g., FTE cost avoidance, reduced cycle time x rate).</t>
  </si>
  <si>
    <t xml:space="preserve">     • Soft benefits = directional value you still want to track (e.g., improved NPS) — keep these separate from Hard totals if your audience only counts Hard $.</t>
  </si>
  <si>
    <t>4. ROI Summary — auto-calculates from Cost Inputs and Benefit Inputs: net cash flow, cumulative cash flow, ROI %, payback period, NPV, and IRR.</t>
  </si>
  <si>
    <t>5. Lists tab — edit the dropdown source lists (Cost Category, Benefit Category, Type, Owner) to match your program.</t>
  </si>
  <si>
    <t>Formatting key</t>
  </si>
  <si>
    <t>Blue text = input cell (edit me)</t>
  </si>
  <si>
    <t>Black text = formula (do not overwrite)</t>
  </si>
  <si>
    <t>Yellow fill = key assumption to confirm</t>
  </si>
  <si>
    <t>Yellow fill example:</t>
  </si>
  <si>
    <t>Cost Category</t>
  </si>
  <si>
    <t>Benefit Category</t>
  </si>
  <si>
    <t>Cost Type</t>
  </si>
  <si>
    <t>Benefit Type</t>
  </si>
  <si>
    <t>Confidence</t>
  </si>
  <si>
    <t>Labor / Implementation</t>
  </si>
  <si>
    <t>Labor / FTE Savings</t>
  </si>
  <si>
    <t>One-time</t>
  </si>
  <si>
    <t>Hard (quantified $)</t>
  </si>
  <si>
    <t>High</t>
  </si>
  <si>
    <t>Technology / Licensing</t>
  </si>
  <si>
    <t>Cost Avoidance</t>
  </si>
  <si>
    <t>Recurring</t>
  </si>
  <si>
    <t>Soft (directional / qualitative)</t>
  </si>
  <si>
    <t>Medium</t>
  </si>
  <si>
    <t>Infrastructure</t>
  </si>
  <si>
    <t>Revenue Growth</t>
  </si>
  <si>
    <t>Low</t>
  </si>
  <si>
    <t>Training / Change Management</t>
  </si>
  <si>
    <t>Cycle Time Reduction</t>
  </si>
  <si>
    <t>Consulting / Professional Services</t>
  </si>
  <si>
    <t>Error / Rework Reduction</t>
  </si>
  <si>
    <t>Ongoing Support / Maintenance</t>
  </si>
  <si>
    <t>Risk / Compliance Reduction</t>
  </si>
  <si>
    <t>Other</t>
  </si>
  <si>
    <t>Customer Experience</t>
  </si>
  <si>
    <t>Assumptions</t>
  </si>
  <si>
    <t>Key drivers for the ROI Summary calculations. Edit the yellow cells.</t>
  </si>
  <si>
    <t>Assumption</t>
  </si>
  <si>
    <t>Value</t>
  </si>
  <si>
    <t>Notes</t>
  </si>
  <si>
    <t>Analysis Name / Initiative</t>
  </si>
  <si>
    <t>Name of the initiative or business case</t>
  </si>
  <si>
    <t>Analysis Start Date</t>
  </si>
  <si>
    <t>Date Year 0 begins</t>
  </si>
  <si>
    <t>Currency</t>
  </si>
  <si>
    <t>USD</t>
  </si>
  <si>
    <t>Currency used throughout this workbook</t>
  </si>
  <si>
    <t>Discount Rate (Annual %)</t>
  </si>
  <si>
    <t>Used for NPV and discounted payback calculations</t>
  </si>
  <si>
    <t>Time Horizon (Years)</t>
  </si>
  <si>
    <t>Number of years modeled beyond Year 0</t>
  </si>
  <si>
    <t>Prepared By</t>
  </si>
  <si>
    <t>Analyst / owner of this business case</t>
  </si>
  <si>
    <t>Cost Inputs</t>
  </si>
  <si>
    <t>One row per cost line item. Year 0 = upfront/implementation costs before benefits begin.</t>
  </si>
  <si>
    <t>Cost ID</t>
  </si>
  <si>
    <t>Category</t>
  </si>
  <si>
    <t>Description</t>
  </si>
  <si>
    <t>Type</t>
  </si>
  <si>
    <t>Owner</t>
  </si>
  <si>
    <t>Year 0</t>
  </si>
  <si>
    <t>Year 1</t>
  </si>
  <si>
    <t>Year 2</t>
  </si>
  <si>
    <t>Year 3</t>
  </si>
  <si>
    <t>Year 4</t>
  </si>
  <si>
    <t>Year 5</t>
  </si>
  <si>
    <t>Total</t>
  </si>
  <si>
    <t>TOTAL COSTS</t>
  </si>
  <si>
    <t>Benefit Inputs</t>
  </si>
  <si>
    <t>One row per benefit line item. Keep Hard $ and Soft benefits distinguishable via the Type column.</t>
  </si>
  <si>
    <t>Benefit ID</t>
  </si>
  <si>
    <t>TOTAL BENEFITS (ALL)</t>
  </si>
  <si>
    <t>TOTAL HARD $ BENEFITS</t>
  </si>
  <si>
    <t>ROI Summary</t>
  </si>
  <si>
    <t>Auto-calculated from Cost Inputs and Benefit Inputs (Hard $ benefits only, per Assumptions discount rate).</t>
  </si>
  <si>
    <t>($ unless noted)</t>
  </si>
  <si>
    <t>Total Costs</t>
  </si>
  <si>
    <t>Total Benefits (Hard $)</t>
  </si>
  <si>
    <t>Net Cash Flow</t>
  </si>
  <si>
    <t>Cumulative Cash Flow</t>
  </si>
  <si>
    <t>Discount Factor</t>
  </si>
  <si>
    <t>Discounted Cash Flow</t>
  </si>
  <si>
    <t>Cumulative Discounted Cash Flow</t>
  </si>
  <si>
    <t>Key Metrics</t>
  </si>
  <si>
    <t>Total Investment (Costs)</t>
  </si>
  <si>
    <t>Total Benefit (Hard $)</t>
  </si>
  <si>
    <t>Net Benefit</t>
  </si>
  <si>
    <t>Simple ROI %</t>
  </si>
  <si>
    <t>NPV (at Assumptions discount rate)</t>
  </si>
  <si>
    <t>IRR</t>
  </si>
  <si>
    <t>Payback Period (years, undiscounted)</t>
  </si>
  <si>
    <t>Discounted Payback Period (years)</t>
  </si>
  <si>
    <t>Note: ROI metrics use Hard $ benefits only (Benefit Inputs "Hard (quantified $)" rows). Soft benefits are tracked in Benefit Inputs but excluded from NPV/IRR/ROI% for a conservative, auditable business case.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</si>
</sst>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#,##0;\(#,##0\);\-"/>
    <numFmt numFmtId="166" formatCode="0.000"/>
    <numFmt numFmtId="167" formatCode="0%;\(0%\);\-"/>
    <numFmt numFmtId="168" formatCode="0.0%;\(0.0%\);&quot;n/a&quot;"/>
    <numFmt numFmtId="169" formatCode="0.00;;&quot;n/a&quot;"/>
  </numFmts>
  <fonts count="9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9"/>
      <color rgb="FF7F7F7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0070C0"/>
        <bgColor rgb="FF008080"/>
      </patternFill>
    </fill>
    <fill>
      <patternFill patternType="solid">
        <fgColor rgb="FFF2F2F2"/>
        <bgColor rgb="FFFFFFFF"/>
      </patternFill>
    </fill>
    <fill>
      <patternFill patternType="solid">
        <fgColor rgb="FFC6E0B4"/>
        <bgColor rgb="FFBFBFB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2" borderId="0" xfId="0" applyFill="1"/>
    <xf numFmtId="0" fontId="7" fillId="3" borderId="0" xfId="0" applyFont="1" applyFill="1"/>
    <xf numFmtId="0" fontId="8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0" fontId="3" fillId="5" borderId="1" xfId="0" applyFont="1" applyFill="1" applyBorder="1"/>
    <xf numFmtId="0" fontId="0" fillId="5" borderId="1" xfId="0" applyFill="1" applyBorder="1"/>
    <xf numFmtId="165" fontId="3" fillId="5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/>
    <xf numFmtId="0" fontId="3" fillId="6" borderId="1" xfId="0" applyFont="1" applyFill="1" applyBorder="1"/>
    <xf numFmtId="165" fontId="3" fillId="6" borderId="1" xfId="0" applyNumberFormat="1" applyFont="1" applyFill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167" fontId="6" fillId="0" borderId="1" xfId="0" applyNumberFormat="1" applyFont="1" applyBorder="1" applyAlignment="1">
      <alignment horizontal="center" vertical="center" wrapText="1"/>
    </xf>
    <xf numFmtId="168" fontId="6" fillId="0" borderId="1" xfId="0" applyNumberFormat="1" applyFont="1" applyBorder="1" applyAlignment="1">
      <alignment horizontal="center" vertical="center" wrapText="1"/>
    </xf>
    <xf numFmtId="169" fontId="6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tabSelected="1" zoomScaleNormal="100" workbookViewId="0"/>
  </sheetViews>
  <sheetFormatPr defaultColWidth="8.7109375" defaultRowHeight="15"/>
  <cols>
    <col min="1" max="1" width="3" customWidth="1"/>
    <col min="2" max="2" width="100" customWidth="1"/>
  </cols>
  <sheetData>
    <row r="2" spans="2:2" ht="19.7">
      <c r="B2" s="1" t="s">
        <v>0</v>
      </c>
    </row>
    <row r="3" spans="2:2">
      <c r="B3" s="2" t="s">
        <v>1</v>
      </c>
    </row>
    <row r="5" spans="2:2">
      <c r="B5" s="3" t="s">
        <v>2</v>
      </c>
    </row>
    <row r="6" spans="2:2">
      <c r="B6" s="4" t="s">
        <v>3</v>
      </c>
    </row>
    <row r="7" spans="2:2">
      <c r="B7" s="4" t="s">
        <v>4</v>
      </c>
    </row>
    <row r="8" spans="2:2">
      <c r="B8" s="4" t="s">
        <v>5</v>
      </c>
    </row>
    <row r="9" spans="2:2">
      <c r="B9" s="4" t="s">
        <v>6</v>
      </c>
    </row>
    <row r="10" spans="2:2">
      <c r="B10" s="4" t="s">
        <v>7</v>
      </c>
    </row>
    <row r="11" spans="2:2">
      <c r="B11" s="4" t="s">
        <v>8</v>
      </c>
    </row>
    <row r="12" spans="2:2">
      <c r="B12" s="4" t="s">
        <v>9</v>
      </c>
    </row>
    <row r="13" spans="2:2">
      <c r="B13" s="4" t="s">
        <v>10</v>
      </c>
    </row>
    <row r="14" spans="2:2">
      <c r="B14" s="4" t="s">
        <v>11</v>
      </c>
    </row>
    <row r="15" spans="2:2">
      <c r="B15" s="4"/>
    </row>
    <row r="16" spans="2:2">
      <c r="B16" s="3" t="s">
        <v>12</v>
      </c>
    </row>
    <row r="17" spans="2:3">
      <c r="B17" s="5" t="s">
        <v>13</v>
      </c>
    </row>
    <row r="18" spans="2:3">
      <c r="B18" s="6" t="s">
        <v>14</v>
      </c>
    </row>
    <row r="19" spans="2:3">
      <c r="B19" s="4" t="s">
        <v>15</v>
      </c>
    </row>
    <row r="21" spans="2:3">
      <c r="B21" s="4" t="s">
        <v>16</v>
      </c>
      <c r="C21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showGridLines="0" zoomScaleNormal="100" workbookViewId="0"/>
  </sheetViews>
  <sheetFormatPr defaultColWidth="8.7109375" defaultRowHeight="15"/>
  <cols>
    <col min="1" max="5" width="30" customWidth="1"/>
  </cols>
  <sheetData>
    <row r="1" spans="1:5">
      <c r="A1" s="8" t="s">
        <v>17</v>
      </c>
      <c r="B1" s="8" t="s">
        <v>18</v>
      </c>
      <c r="C1" s="8" t="s">
        <v>19</v>
      </c>
      <c r="D1" s="8" t="s">
        <v>20</v>
      </c>
      <c r="E1" s="8" t="s">
        <v>21</v>
      </c>
    </row>
    <row r="2" spans="1:5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</row>
    <row r="3" spans="1:5">
      <c r="A3" s="4" t="s">
        <v>27</v>
      </c>
      <c r="B3" s="4" t="s">
        <v>28</v>
      </c>
      <c r="C3" s="4" t="s">
        <v>29</v>
      </c>
      <c r="D3" s="4" t="s">
        <v>30</v>
      </c>
      <c r="E3" s="4" t="s">
        <v>31</v>
      </c>
    </row>
    <row r="4" spans="1:5">
      <c r="A4" s="4" t="s">
        <v>32</v>
      </c>
      <c r="B4" s="4" t="s">
        <v>33</v>
      </c>
      <c r="E4" s="4" t="s">
        <v>34</v>
      </c>
    </row>
    <row r="5" spans="1:5">
      <c r="A5" s="4" t="s">
        <v>35</v>
      </c>
      <c r="B5" s="4" t="s">
        <v>36</v>
      </c>
    </row>
    <row r="6" spans="1:5">
      <c r="A6" s="4" t="s">
        <v>37</v>
      </c>
      <c r="B6" s="4" t="s">
        <v>38</v>
      </c>
    </row>
    <row r="7" spans="1:5">
      <c r="A7" s="4" t="s">
        <v>39</v>
      </c>
      <c r="B7" s="4" t="s">
        <v>40</v>
      </c>
    </row>
    <row r="8" spans="1:5">
      <c r="A8" s="4" t="s">
        <v>41</v>
      </c>
      <c r="B8" s="4" t="s">
        <v>42</v>
      </c>
    </row>
    <row r="9" spans="1:5">
      <c r="B9" s="4" t="s">
        <v>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showGridLines="0" zoomScaleNormal="100" workbookViewId="0"/>
  </sheetViews>
  <sheetFormatPr defaultColWidth="8.7109375" defaultRowHeight="15"/>
  <cols>
    <col min="1" max="1" width="30" customWidth="1"/>
    <col min="2" max="2" width="20" customWidth="1"/>
    <col min="3" max="3" width="45" customWidth="1"/>
  </cols>
  <sheetData>
    <row r="1" spans="1:3" ht="19.7">
      <c r="A1" s="1" t="s">
        <v>43</v>
      </c>
    </row>
    <row r="2" spans="1:3">
      <c r="A2" s="2" t="s">
        <v>44</v>
      </c>
    </row>
    <row r="4" spans="1:3">
      <c r="A4" s="9" t="s">
        <v>45</v>
      </c>
      <c r="B4" s="9" t="s">
        <v>46</v>
      </c>
      <c r="C4" s="9" t="s">
        <v>47</v>
      </c>
    </row>
    <row r="5" spans="1:3">
      <c r="A5" s="10" t="s">
        <v>48</v>
      </c>
      <c r="B5" s="11"/>
      <c r="C5" s="12" t="s">
        <v>49</v>
      </c>
    </row>
    <row r="6" spans="1:3">
      <c r="A6" s="10" t="s">
        <v>50</v>
      </c>
      <c r="B6" s="11"/>
      <c r="C6" s="12" t="s">
        <v>51</v>
      </c>
    </row>
    <row r="7" spans="1:3">
      <c r="A7" s="10" t="s">
        <v>52</v>
      </c>
      <c r="B7" s="11" t="s">
        <v>53</v>
      </c>
      <c r="C7" s="12" t="s">
        <v>54</v>
      </c>
    </row>
    <row r="8" spans="1:3">
      <c r="A8" s="10" t="s">
        <v>55</v>
      </c>
      <c r="B8" s="13">
        <v>0.1</v>
      </c>
      <c r="C8" s="12" t="s">
        <v>56</v>
      </c>
    </row>
    <row r="9" spans="1:3">
      <c r="A9" s="10" t="s">
        <v>57</v>
      </c>
      <c r="B9" s="11">
        <v>5</v>
      </c>
      <c r="C9" s="12" t="s">
        <v>58</v>
      </c>
    </row>
    <row r="10" spans="1:3">
      <c r="A10" s="10" t="s">
        <v>59</v>
      </c>
      <c r="B10" s="11"/>
      <c r="C10" s="12" t="s">
        <v>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4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0" customWidth="1"/>
    <col min="2" max="2" width="22" customWidth="1"/>
    <col min="3" max="3" width="30" customWidth="1"/>
    <col min="4" max="4" width="12" customWidth="1"/>
    <col min="5" max="5" width="14" customWidth="1"/>
    <col min="6" max="6" width="12" customWidth="1"/>
    <col min="7" max="12" width="11" customWidth="1"/>
    <col min="13" max="13" width="12" customWidth="1"/>
    <col min="14" max="14" width="24" customWidth="1"/>
  </cols>
  <sheetData>
    <row r="1" spans="1:14" ht="19.7">
      <c r="A1" s="1" t="s">
        <v>61</v>
      </c>
    </row>
    <row r="2" spans="1:14">
      <c r="A2" s="2" t="s">
        <v>62</v>
      </c>
    </row>
    <row r="3" spans="1:14">
      <c r="A3" s="9" t="s">
        <v>63</v>
      </c>
      <c r="B3" s="9" t="s">
        <v>64</v>
      </c>
      <c r="C3" s="9" t="s">
        <v>65</v>
      </c>
      <c r="D3" s="9" t="s">
        <v>66</v>
      </c>
      <c r="E3" s="9" t="s">
        <v>67</v>
      </c>
      <c r="F3" s="9" t="s">
        <v>21</v>
      </c>
      <c r="G3" s="9" t="s">
        <v>68</v>
      </c>
      <c r="H3" s="9" t="s">
        <v>69</v>
      </c>
      <c r="I3" s="9" t="s">
        <v>70</v>
      </c>
      <c r="J3" s="9" t="s">
        <v>71</v>
      </c>
      <c r="K3" s="9" t="s">
        <v>72</v>
      </c>
      <c r="L3" s="9" t="s">
        <v>73</v>
      </c>
      <c r="M3" s="9" t="s">
        <v>74</v>
      </c>
      <c r="N3" s="9" t="s">
        <v>47</v>
      </c>
    </row>
    <row r="4" spans="1:14">
      <c r="A4" s="14" t="str">
        <f>IF(C4="","","C-"&amp;TEXT(ROW()-3,"000"))</f>
        <v/>
      </c>
      <c r="B4" s="15"/>
      <c r="C4" s="16"/>
      <c r="D4" s="15"/>
      <c r="E4" s="15"/>
      <c r="F4" s="15"/>
      <c r="G4" s="17"/>
      <c r="H4" s="17"/>
      <c r="I4" s="17"/>
      <c r="J4" s="17"/>
      <c r="K4" s="17"/>
      <c r="L4" s="17"/>
      <c r="M4" s="18">
        <f>SUM(G4:L4)</f>
        <v>0</v>
      </c>
      <c r="N4" s="16"/>
    </row>
    <row r="5" spans="1:14">
      <c r="A5" s="14" t="str">
        <f>IF(C5="","","C-"&amp;TEXT(ROW()-3,"000"))</f>
        <v/>
      </c>
      <c r="B5" s="15"/>
      <c r="C5" s="16"/>
      <c r="D5" s="15"/>
      <c r="E5" s="15"/>
      <c r="F5" s="15"/>
      <c r="G5" s="17"/>
      <c r="H5" s="17"/>
      <c r="I5" s="17"/>
      <c r="J5" s="17"/>
      <c r="K5" s="17"/>
      <c r="L5" s="17"/>
      <c r="M5" s="18">
        <f>SUM(G5:L5)</f>
        <v>0</v>
      </c>
      <c r="N5" s="16"/>
    </row>
    <row r="6" spans="1:14">
      <c r="A6" s="14" t="str">
        <f>IF(C6="","","C-"&amp;TEXT(ROW()-3,"000"))</f>
        <v/>
      </c>
      <c r="B6" s="15"/>
      <c r="C6" s="16"/>
      <c r="D6" s="15"/>
      <c r="E6" s="15"/>
      <c r="F6" s="15"/>
      <c r="G6" s="17"/>
      <c r="H6" s="17"/>
      <c r="I6" s="17"/>
      <c r="J6" s="17"/>
      <c r="K6" s="17"/>
      <c r="L6" s="17"/>
      <c r="M6" s="18">
        <f>SUM(G6:L6)</f>
        <v>0</v>
      </c>
      <c r="N6" s="16"/>
    </row>
    <row r="7" spans="1:14">
      <c r="A7" s="14" t="str">
        <f>IF(C7="","","C-"&amp;TEXT(ROW()-3,"000"))</f>
        <v/>
      </c>
      <c r="B7" s="15"/>
      <c r="C7" s="16"/>
      <c r="D7" s="15"/>
      <c r="E7" s="15"/>
      <c r="F7" s="15"/>
      <c r="G7" s="17"/>
      <c r="H7" s="17"/>
      <c r="I7" s="17"/>
      <c r="J7" s="17"/>
      <c r="K7" s="17"/>
      <c r="L7" s="17"/>
      <c r="M7" s="18">
        <f>SUM(G7:L7)</f>
        <v>0</v>
      </c>
      <c r="N7" s="16"/>
    </row>
    <row r="8" spans="1:14">
      <c r="A8" s="14" t="str">
        <f>IF(C8="","","C-"&amp;TEXT(ROW()-3,"000"))</f>
        <v/>
      </c>
      <c r="B8" s="15"/>
      <c r="C8" s="16"/>
      <c r="D8" s="15"/>
      <c r="E8" s="15"/>
      <c r="F8" s="15"/>
      <c r="G8" s="17"/>
      <c r="H8" s="17"/>
      <c r="I8" s="17"/>
      <c r="J8" s="17"/>
      <c r="K8" s="17"/>
      <c r="L8" s="17"/>
      <c r="M8" s="18">
        <f>SUM(G8:L8)</f>
        <v>0</v>
      </c>
      <c r="N8" s="16"/>
    </row>
    <row r="9" spans="1:14">
      <c r="A9" s="14" t="str">
        <f>IF(C9="","","C-"&amp;TEXT(ROW()-3,"000"))</f>
        <v/>
      </c>
      <c r="B9" s="15"/>
      <c r="C9" s="16"/>
      <c r="D9" s="15"/>
      <c r="E9" s="15"/>
      <c r="F9" s="15"/>
      <c r="G9" s="17"/>
      <c r="H9" s="17"/>
      <c r="I9" s="17"/>
      <c r="J9" s="17"/>
      <c r="K9" s="17"/>
      <c r="L9" s="17"/>
      <c r="M9" s="18">
        <f>SUM(G9:L9)</f>
        <v>0</v>
      </c>
      <c r="N9" s="16"/>
    </row>
    <row r="10" spans="1:14">
      <c r="A10" s="14" t="str">
        <f>IF(C10="","","C-"&amp;TEXT(ROW()-3,"000"))</f>
        <v/>
      </c>
      <c r="B10" s="15"/>
      <c r="C10" s="16"/>
      <c r="D10" s="15"/>
      <c r="E10" s="15"/>
      <c r="F10" s="15"/>
      <c r="G10" s="17"/>
      <c r="H10" s="17"/>
      <c r="I10" s="17"/>
      <c r="J10" s="17"/>
      <c r="K10" s="17"/>
      <c r="L10" s="17"/>
      <c r="M10" s="18">
        <f>SUM(G10:L10)</f>
        <v>0</v>
      </c>
      <c r="N10" s="16"/>
    </row>
    <row r="11" spans="1:14">
      <c r="A11" s="14" t="str">
        <f>IF(C11="","","C-"&amp;TEXT(ROW()-3,"000"))</f>
        <v/>
      </c>
      <c r="B11" s="15"/>
      <c r="C11" s="16"/>
      <c r="D11" s="15"/>
      <c r="E11" s="15"/>
      <c r="F11" s="15"/>
      <c r="G11" s="17"/>
      <c r="H11" s="17"/>
      <c r="I11" s="17"/>
      <c r="J11" s="17"/>
      <c r="K11" s="17"/>
      <c r="L11" s="17"/>
      <c r="M11" s="18">
        <f>SUM(G11:L11)</f>
        <v>0</v>
      </c>
      <c r="N11" s="16"/>
    </row>
    <row r="12" spans="1:14">
      <c r="A12" s="14" t="str">
        <f>IF(C12="","","C-"&amp;TEXT(ROW()-3,"000"))</f>
        <v/>
      </c>
      <c r="B12" s="15"/>
      <c r="C12" s="16"/>
      <c r="D12" s="15"/>
      <c r="E12" s="15"/>
      <c r="F12" s="15"/>
      <c r="G12" s="17"/>
      <c r="H12" s="17"/>
      <c r="I12" s="17"/>
      <c r="J12" s="17"/>
      <c r="K12" s="17"/>
      <c r="L12" s="17"/>
      <c r="M12" s="18">
        <f>SUM(G12:L12)</f>
        <v>0</v>
      </c>
      <c r="N12" s="16"/>
    </row>
    <row r="13" spans="1:14">
      <c r="A13" s="14" t="str">
        <f>IF(C13="","","C-"&amp;TEXT(ROW()-3,"000"))</f>
        <v/>
      </c>
      <c r="B13" s="15"/>
      <c r="C13" s="16"/>
      <c r="D13" s="15"/>
      <c r="E13" s="15"/>
      <c r="F13" s="15"/>
      <c r="G13" s="17"/>
      <c r="H13" s="17"/>
      <c r="I13" s="17"/>
      <c r="J13" s="17"/>
      <c r="K13" s="17"/>
      <c r="L13" s="17"/>
      <c r="M13" s="18">
        <f>SUM(G13:L13)</f>
        <v>0</v>
      </c>
      <c r="N13" s="16"/>
    </row>
    <row r="14" spans="1:14">
      <c r="A14" s="14" t="str">
        <f>IF(C14="","","C-"&amp;TEXT(ROW()-3,"000"))</f>
        <v/>
      </c>
      <c r="B14" s="15"/>
      <c r="C14" s="16"/>
      <c r="D14" s="15"/>
      <c r="E14" s="15"/>
      <c r="F14" s="15"/>
      <c r="G14" s="17"/>
      <c r="H14" s="17"/>
      <c r="I14" s="17"/>
      <c r="J14" s="17"/>
      <c r="K14" s="17"/>
      <c r="L14" s="17"/>
      <c r="M14" s="18">
        <f>SUM(G14:L14)</f>
        <v>0</v>
      </c>
      <c r="N14" s="16"/>
    </row>
    <row r="15" spans="1:14">
      <c r="A15" s="14" t="str">
        <f>IF(C15="","","C-"&amp;TEXT(ROW()-3,"000"))</f>
        <v/>
      </c>
      <c r="B15" s="15"/>
      <c r="C15" s="16"/>
      <c r="D15" s="15"/>
      <c r="E15" s="15"/>
      <c r="F15" s="15"/>
      <c r="G15" s="17"/>
      <c r="H15" s="17"/>
      <c r="I15" s="17"/>
      <c r="J15" s="17"/>
      <c r="K15" s="17"/>
      <c r="L15" s="17"/>
      <c r="M15" s="18">
        <f>SUM(G15:L15)</f>
        <v>0</v>
      </c>
      <c r="N15" s="16"/>
    </row>
    <row r="16" spans="1:14">
      <c r="A16" s="14" t="str">
        <f>IF(C16="","","C-"&amp;TEXT(ROW()-3,"000"))</f>
        <v/>
      </c>
      <c r="B16" s="15"/>
      <c r="C16" s="16"/>
      <c r="D16" s="15"/>
      <c r="E16" s="15"/>
      <c r="F16" s="15"/>
      <c r="G16" s="17"/>
      <c r="H16" s="17"/>
      <c r="I16" s="17"/>
      <c r="J16" s="17"/>
      <c r="K16" s="17"/>
      <c r="L16" s="17"/>
      <c r="M16" s="18">
        <f>SUM(G16:L16)</f>
        <v>0</v>
      </c>
      <c r="N16" s="16"/>
    </row>
    <row r="17" spans="1:14">
      <c r="A17" s="14" t="str">
        <f>IF(C17="","","C-"&amp;TEXT(ROW()-3,"000"))</f>
        <v/>
      </c>
      <c r="B17" s="15"/>
      <c r="C17" s="16"/>
      <c r="D17" s="15"/>
      <c r="E17" s="15"/>
      <c r="F17" s="15"/>
      <c r="G17" s="17"/>
      <c r="H17" s="17"/>
      <c r="I17" s="17"/>
      <c r="J17" s="17"/>
      <c r="K17" s="17"/>
      <c r="L17" s="17"/>
      <c r="M17" s="18">
        <f>SUM(G17:L17)</f>
        <v>0</v>
      </c>
      <c r="N17" s="16"/>
    </row>
    <row r="18" spans="1:14">
      <c r="A18" s="14" t="str">
        <f>IF(C18="","","C-"&amp;TEXT(ROW()-3,"000"))</f>
        <v/>
      </c>
      <c r="B18" s="15"/>
      <c r="C18" s="16"/>
      <c r="D18" s="15"/>
      <c r="E18" s="15"/>
      <c r="F18" s="15"/>
      <c r="G18" s="17"/>
      <c r="H18" s="17"/>
      <c r="I18" s="17"/>
      <c r="J18" s="17"/>
      <c r="K18" s="17"/>
      <c r="L18" s="17"/>
      <c r="M18" s="18">
        <f>SUM(G18:L18)</f>
        <v>0</v>
      </c>
      <c r="N18" s="16"/>
    </row>
    <row r="19" spans="1:14">
      <c r="A19" s="14" t="str">
        <f>IF(C19="","","C-"&amp;TEXT(ROW()-3,"000"))</f>
        <v/>
      </c>
      <c r="B19" s="15"/>
      <c r="C19" s="16"/>
      <c r="D19" s="15"/>
      <c r="E19" s="15"/>
      <c r="F19" s="15"/>
      <c r="G19" s="17"/>
      <c r="H19" s="17"/>
      <c r="I19" s="17"/>
      <c r="J19" s="17"/>
      <c r="K19" s="17"/>
      <c r="L19" s="17"/>
      <c r="M19" s="18">
        <f>SUM(G19:L19)</f>
        <v>0</v>
      </c>
      <c r="N19" s="16"/>
    </row>
    <row r="20" spans="1:14">
      <c r="A20" s="14" t="str">
        <f>IF(C20="","","C-"&amp;TEXT(ROW()-3,"000"))</f>
        <v/>
      </c>
      <c r="B20" s="15"/>
      <c r="C20" s="16"/>
      <c r="D20" s="15"/>
      <c r="E20" s="15"/>
      <c r="F20" s="15"/>
      <c r="G20" s="17"/>
      <c r="H20" s="17"/>
      <c r="I20" s="17"/>
      <c r="J20" s="17"/>
      <c r="K20" s="17"/>
      <c r="L20" s="17"/>
      <c r="M20" s="18">
        <f>SUM(G20:L20)</f>
        <v>0</v>
      </c>
      <c r="N20" s="16"/>
    </row>
    <row r="21" spans="1:14">
      <c r="A21" s="14" t="str">
        <f>IF(C21="","","C-"&amp;TEXT(ROW()-3,"000"))</f>
        <v/>
      </c>
      <c r="B21" s="15"/>
      <c r="C21" s="16"/>
      <c r="D21" s="15"/>
      <c r="E21" s="15"/>
      <c r="F21" s="15"/>
      <c r="G21" s="17"/>
      <c r="H21" s="17"/>
      <c r="I21" s="17"/>
      <c r="J21" s="17"/>
      <c r="K21" s="17"/>
      <c r="L21" s="17"/>
      <c r="M21" s="18">
        <f>SUM(G21:L21)</f>
        <v>0</v>
      </c>
      <c r="N21" s="16"/>
    </row>
    <row r="22" spans="1:14">
      <c r="A22" s="14" t="str">
        <f>IF(C22="","","C-"&amp;TEXT(ROW()-3,"000"))</f>
        <v/>
      </c>
      <c r="B22" s="15"/>
      <c r="C22" s="16"/>
      <c r="D22" s="15"/>
      <c r="E22" s="15"/>
      <c r="F22" s="15"/>
      <c r="G22" s="17"/>
      <c r="H22" s="17"/>
      <c r="I22" s="17"/>
      <c r="J22" s="17"/>
      <c r="K22" s="17"/>
      <c r="L22" s="17"/>
      <c r="M22" s="18">
        <f>SUM(G22:L22)</f>
        <v>0</v>
      </c>
      <c r="N22" s="16"/>
    </row>
    <row r="23" spans="1:14">
      <c r="A23" s="14" t="str">
        <f>IF(C23="","","C-"&amp;TEXT(ROW()-3,"000"))</f>
        <v/>
      </c>
      <c r="B23" s="15"/>
      <c r="C23" s="16"/>
      <c r="D23" s="15"/>
      <c r="E23" s="15"/>
      <c r="F23" s="15"/>
      <c r="G23" s="17"/>
      <c r="H23" s="17"/>
      <c r="I23" s="17"/>
      <c r="J23" s="17"/>
      <c r="K23" s="17"/>
      <c r="L23" s="17"/>
      <c r="M23" s="18">
        <f>SUM(G23:L23)</f>
        <v>0</v>
      </c>
      <c r="N23" s="16"/>
    </row>
    <row r="24" spans="1:14">
      <c r="A24" s="14" t="str">
        <f>IF(C24="","","C-"&amp;TEXT(ROW()-3,"000"))</f>
        <v/>
      </c>
      <c r="B24" s="15"/>
      <c r="C24" s="16"/>
      <c r="D24" s="15"/>
      <c r="E24" s="15"/>
      <c r="F24" s="15"/>
      <c r="G24" s="17"/>
      <c r="H24" s="17"/>
      <c r="I24" s="17"/>
      <c r="J24" s="17"/>
      <c r="K24" s="17"/>
      <c r="L24" s="17"/>
      <c r="M24" s="18">
        <f>SUM(G24:L24)</f>
        <v>0</v>
      </c>
      <c r="N24" s="16"/>
    </row>
    <row r="25" spans="1:14">
      <c r="A25" s="14" t="str">
        <f>IF(C25="","","C-"&amp;TEXT(ROW()-3,"000"))</f>
        <v/>
      </c>
      <c r="B25" s="15"/>
      <c r="C25" s="16"/>
      <c r="D25" s="15"/>
      <c r="E25" s="15"/>
      <c r="F25" s="15"/>
      <c r="G25" s="17"/>
      <c r="H25" s="17"/>
      <c r="I25" s="17"/>
      <c r="J25" s="17"/>
      <c r="K25" s="17"/>
      <c r="L25" s="17"/>
      <c r="M25" s="18">
        <f>SUM(G25:L25)</f>
        <v>0</v>
      </c>
      <c r="N25" s="16"/>
    </row>
    <row r="26" spans="1:14">
      <c r="A26" s="14" t="str">
        <f>IF(C26="","","C-"&amp;TEXT(ROW()-3,"000"))</f>
        <v/>
      </c>
      <c r="B26" s="15"/>
      <c r="C26" s="16"/>
      <c r="D26" s="15"/>
      <c r="E26" s="15"/>
      <c r="F26" s="15"/>
      <c r="G26" s="17"/>
      <c r="H26" s="17"/>
      <c r="I26" s="17"/>
      <c r="J26" s="17"/>
      <c r="K26" s="17"/>
      <c r="L26" s="17"/>
      <c r="M26" s="18">
        <f>SUM(G26:L26)</f>
        <v>0</v>
      </c>
      <c r="N26" s="16"/>
    </row>
    <row r="27" spans="1:14">
      <c r="A27" s="14" t="str">
        <f>IF(C27="","","C-"&amp;TEXT(ROW()-3,"000"))</f>
        <v/>
      </c>
      <c r="B27" s="15"/>
      <c r="C27" s="16"/>
      <c r="D27" s="15"/>
      <c r="E27" s="15"/>
      <c r="F27" s="15"/>
      <c r="G27" s="17"/>
      <c r="H27" s="17"/>
      <c r="I27" s="17"/>
      <c r="J27" s="17"/>
      <c r="K27" s="17"/>
      <c r="L27" s="17"/>
      <c r="M27" s="18">
        <f>SUM(G27:L27)</f>
        <v>0</v>
      </c>
      <c r="N27" s="16"/>
    </row>
    <row r="28" spans="1:14">
      <c r="A28" s="14" t="str">
        <f>IF(C28="","","C-"&amp;TEXT(ROW()-3,"000"))</f>
        <v/>
      </c>
      <c r="B28" s="15"/>
      <c r="C28" s="16"/>
      <c r="D28" s="15"/>
      <c r="E28" s="15"/>
      <c r="F28" s="15"/>
      <c r="G28" s="17"/>
      <c r="H28" s="17"/>
      <c r="I28" s="17"/>
      <c r="J28" s="17"/>
      <c r="K28" s="17"/>
      <c r="L28" s="17"/>
      <c r="M28" s="18">
        <f>SUM(G28:L28)</f>
        <v>0</v>
      </c>
      <c r="N28" s="16"/>
    </row>
    <row r="29" spans="1:14">
      <c r="A29" s="14" t="str">
        <f>IF(C29="","","C-"&amp;TEXT(ROW()-3,"000"))</f>
        <v/>
      </c>
      <c r="B29" s="15"/>
      <c r="C29" s="16"/>
      <c r="D29" s="15"/>
      <c r="E29" s="15"/>
      <c r="F29" s="15"/>
      <c r="G29" s="17"/>
      <c r="H29" s="17"/>
      <c r="I29" s="17"/>
      <c r="J29" s="17"/>
      <c r="K29" s="17"/>
      <c r="L29" s="17"/>
      <c r="M29" s="18">
        <f>SUM(G29:L29)</f>
        <v>0</v>
      </c>
      <c r="N29" s="16"/>
    </row>
    <row r="30" spans="1:14">
      <c r="A30" s="14" t="str">
        <f>IF(C30="","","C-"&amp;TEXT(ROW()-3,"000"))</f>
        <v/>
      </c>
      <c r="B30" s="15"/>
      <c r="C30" s="16"/>
      <c r="D30" s="15"/>
      <c r="E30" s="15"/>
      <c r="F30" s="15"/>
      <c r="G30" s="17"/>
      <c r="H30" s="17"/>
      <c r="I30" s="17"/>
      <c r="J30" s="17"/>
      <c r="K30" s="17"/>
      <c r="L30" s="17"/>
      <c r="M30" s="18">
        <f>SUM(G30:L30)</f>
        <v>0</v>
      </c>
      <c r="N30" s="16"/>
    </row>
    <row r="31" spans="1:14">
      <c r="A31" s="14" t="str">
        <f>IF(C31="","","C-"&amp;TEXT(ROW()-3,"000"))</f>
        <v/>
      </c>
      <c r="B31" s="15"/>
      <c r="C31" s="16"/>
      <c r="D31" s="15"/>
      <c r="E31" s="15"/>
      <c r="F31" s="15"/>
      <c r="G31" s="17"/>
      <c r="H31" s="17"/>
      <c r="I31" s="17"/>
      <c r="J31" s="17"/>
      <c r="K31" s="17"/>
      <c r="L31" s="17"/>
      <c r="M31" s="18">
        <f>SUM(G31:L31)</f>
        <v>0</v>
      </c>
      <c r="N31" s="16"/>
    </row>
    <row r="32" spans="1:14">
      <c r="A32" s="14" t="str">
        <f>IF(C32="","","C-"&amp;TEXT(ROW()-3,"000"))</f>
        <v/>
      </c>
      <c r="B32" s="15"/>
      <c r="C32" s="16"/>
      <c r="D32" s="15"/>
      <c r="E32" s="15"/>
      <c r="F32" s="15"/>
      <c r="G32" s="17"/>
      <c r="H32" s="17"/>
      <c r="I32" s="17"/>
      <c r="J32" s="17"/>
      <c r="K32" s="17"/>
      <c r="L32" s="17"/>
      <c r="M32" s="18">
        <f>SUM(G32:L32)</f>
        <v>0</v>
      </c>
      <c r="N32" s="16"/>
    </row>
    <row r="33" spans="1:14">
      <c r="A33" s="14" t="str">
        <f>IF(C33="","","C-"&amp;TEXT(ROW()-3,"000"))</f>
        <v/>
      </c>
      <c r="B33" s="15"/>
      <c r="C33" s="16"/>
      <c r="D33" s="15"/>
      <c r="E33" s="15"/>
      <c r="F33" s="15"/>
      <c r="G33" s="17"/>
      <c r="H33" s="17"/>
      <c r="I33" s="17"/>
      <c r="J33" s="17"/>
      <c r="K33" s="17"/>
      <c r="L33" s="17"/>
      <c r="M33" s="18">
        <f>SUM(G33:L33)</f>
        <v>0</v>
      </c>
      <c r="N33" s="16"/>
    </row>
    <row r="34" spans="1:14">
      <c r="A34" s="19"/>
      <c r="B34" s="19" t="s">
        <v>75</v>
      </c>
      <c r="C34" s="20"/>
      <c r="D34" s="20"/>
      <c r="E34" s="20"/>
      <c r="F34" s="20"/>
      <c r="G34" s="21">
        <f>SUM(G4:G33)</f>
        <v>0</v>
      </c>
      <c r="H34" s="21">
        <f>SUM(H4:H33)</f>
        <v>0</v>
      </c>
      <c r="I34" s="21">
        <f>SUM(I4:I33)</f>
        <v>0</v>
      </c>
      <c r="J34" s="21">
        <f>SUM(J4:J33)</f>
        <v>0</v>
      </c>
      <c r="K34" s="21">
        <f>SUM(K4:K33)</f>
        <v>0</v>
      </c>
      <c r="L34" s="21">
        <f>SUM(L4:L33)</f>
        <v>0</v>
      </c>
      <c r="M34" s="21">
        <f>SUM(M4:M33)</f>
        <v>0</v>
      </c>
      <c r="N34" s="20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300-000000000000}">
          <x14:formula1>
            <xm:f>Lists!$A$2:$A$8</xm:f>
          </x14:formula1>
          <x14:formula2>
            <xm:f>0</xm:f>
          </x14:formula2>
          <xm:sqref>B4:B33</xm:sqref>
        </x14:dataValidation>
        <x14:dataValidation type="list" allowBlank="1" xr:uid="{00000000-0002-0000-0300-000001000000}">
          <x14:formula1>
            <xm:f>Lists!$C$2:$C$3</xm:f>
          </x14:formula1>
          <x14:formula2>
            <xm:f>0</xm:f>
          </x14:formula2>
          <xm:sqref>D4:D33</xm:sqref>
        </x14:dataValidation>
        <x14:dataValidation type="list" allowBlank="1" xr:uid="{00000000-0002-0000-0300-000002000000}">
          <x14:formula1>
            <xm:f>Lists!$E$2:$E$4</xm:f>
          </x14:formula1>
          <x14:formula2>
            <xm:f>0</xm:f>
          </x14:formula2>
          <xm:sqref>F4:F33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5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10" customWidth="1"/>
    <col min="2" max="2" width="22" customWidth="1"/>
    <col min="3" max="3" width="30" customWidth="1"/>
    <col min="4" max="4" width="22" customWidth="1"/>
    <col min="5" max="5" width="14" customWidth="1"/>
    <col min="6" max="6" width="12" customWidth="1"/>
    <col min="7" max="12" width="11" customWidth="1"/>
    <col min="13" max="13" width="12" customWidth="1"/>
    <col min="14" max="14" width="24" customWidth="1"/>
  </cols>
  <sheetData>
    <row r="1" spans="1:14" ht="19.7">
      <c r="A1" s="1" t="s">
        <v>76</v>
      </c>
    </row>
    <row r="2" spans="1:14">
      <c r="A2" s="2" t="s">
        <v>77</v>
      </c>
    </row>
    <row r="3" spans="1:14">
      <c r="A3" s="9" t="s">
        <v>78</v>
      </c>
      <c r="B3" s="9" t="s">
        <v>64</v>
      </c>
      <c r="C3" s="9" t="s">
        <v>65</v>
      </c>
      <c r="D3" s="9" t="s">
        <v>66</v>
      </c>
      <c r="E3" s="9" t="s">
        <v>67</v>
      </c>
      <c r="F3" s="9" t="s">
        <v>21</v>
      </c>
      <c r="G3" s="9" t="s">
        <v>68</v>
      </c>
      <c r="H3" s="9" t="s">
        <v>69</v>
      </c>
      <c r="I3" s="9" t="s">
        <v>70</v>
      </c>
      <c r="J3" s="9" t="s">
        <v>71</v>
      </c>
      <c r="K3" s="9" t="s">
        <v>72</v>
      </c>
      <c r="L3" s="9" t="s">
        <v>73</v>
      </c>
      <c r="M3" s="9" t="s">
        <v>74</v>
      </c>
      <c r="N3" s="9" t="s">
        <v>47</v>
      </c>
    </row>
    <row r="4" spans="1:14">
      <c r="A4" s="14" t="str">
        <f>IF(C4="","","B-"&amp;TEXT(ROW()-3,"000"))</f>
        <v/>
      </c>
      <c r="B4" s="15"/>
      <c r="C4" s="16"/>
      <c r="D4" s="15"/>
      <c r="E4" s="15"/>
      <c r="F4" s="15"/>
      <c r="G4" s="17"/>
      <c r="H4" s="17"/>
      <c r="I4" s="17"/>
      <c r="J4" s="17"/>
      <c r="K4" s="17"/>
      <c r="L4" s="17"/>
      <c r="M4" s="18">
        <f>SUM(G4:L4)</f>
        <v>0</v>
      </c>
      <c r="N4" s="16"/>
    </row>
    <row r="5" spans="1:14">
      <c r="A5" s="14" t="str">
        <f>IF(C5="","","B-"&amp;TEXT(ROW()-3,"000"))</f>
        <v/>
      </c>
      <c r="B5" s="15"/>
      <c r="C5" s="16"/>
      <c r="D5" s="15"/>
      <c r="E5" s="15"/>
      <c r="F5" s="15"/>
      <c r="G5" s="17"/>
      <c r="H5" s="17"/>
      <c r="I5" s="17"/>
      <c r="J5" s="17"/>
      <c r="K5" s="17"/>
      <c r="L5" s="17"/>
      <c r="M5" s="18">
        <f>SUM(G5:L5)</f>
        <v>0</v>
      </c>
      <c r="N5" s="16"/>
    </row>
    <row r="6" spans="1:14">
      <c r="A6" s="14" t="str">
        <f>IF(C6="","","B-"&amp;TEXT(ROW()-3,"000"))</f>
        <v/>
      </c>
      <c r="B6" s="15"/>
      <c r="C6" s="16"/>
      <c r="D6" s="15"/>
      <c r="E6" s="15"/>
      <c r="F6" s="15"/>
      <c r="G6" s="17"/>
      <c r="H6" s="17"/>
      <c r="I6" s="17"/>
      <c r="J6" s="17"/>
      <c r="K6" s="17"/>
      <c r="L6" s="17"/>
      <c r="M6" s="18">
        <f>SUM(G6:L6)</f>
        <v>0</v>
      </c>
      <c r="N6" s="16"/>
    </row>
    <row r="7" spans="1:14">
      <c r="A7" s="14" t="str">
        <f>IF(C7="","","B-"&amp;TEXT(ROW()-3,"000"))</f>
        <v/>
      </c>
      <c r="B7" s="15"/>
      <c r="C7" s="16"/>
      <c r="D7" s="15"/>
      <c r="E7" s="15"/>
      <c r="F7" s="15"/>
      <c r="G7" s="17"/>
      <c r="H7" s="17"/>
      <c r="I7" s="17"/>
      <c r="J7" s="17"/>
      <c r="K7" s="17"/>
      <c r="L7" s="17"/>
      <c r="M7" s="18">
        <f>SUM(G7:L7)</f>
        <v>0</v>
      </c>
      <c r="N7" s="16"/>
    </row>
    <row r="8" spans="1:14">
      <c r="A8" s="14" t="str">
        <f>IF(C8="","","B-"&amp;TEXT(ROW()-3,"000"))</f>
        <v/>
      </c>
      <c r="B8" s="15"/>
      <c r="C8" s="16"/>
      <c r="D8" s="15"/>
      <c r="E8" s="15"/>
      <c r="F8" s="15"/>
      <c r="G8" s="17"/>
      <c r="H8" s="17"/>
      <c r="I8" s="17"/>
      <c r="J8" s="17"/>
      <c r="K8" s="17"/>
      <c r="L8" s="17"/>
      <c r="M8" s="18">
        <f>SUM(G8:L8)</f>
        <v>0</v>
      </c>
      <c r="N8" s="16"/>
    </row>
    <row r="9" spans="1:14">
      <c r="A9" s="14" t="str">
        <f>IF(C9="","","B-"&amp;TEXT(ROW()-3,"000"))</f>
        <v/>
      </c>
      <c r="B9" s="15"/>
      <c r="C9" s="16"/>
      <c r="D9" s="15"/>
      <c r="E9" s="15"/>
      <c r="F9" s="15"/>
      <c r="G9" s="17"/>
      <c r="H9" s="17"/>
      <c r="I9" s="17"/>
      <c r="J9" s="17"/>
      <c r="K9" s="17"/>
      <c r="L9" s="17"/>
      <c r="M9" s="18">
        <f>SUM(G9:L9)</f>
        <v>0</v>
      </c>
      <c r="N9" s="16"/>
    </row>
    <row r="10" spans="1:14">
      <c r="A10" s="14" t="str">
        <f>IF(C10="","","B-"&amp;TEXT(ROW()-3,"000"))</f>
        <v/>
      </c>
      <c r="B10" s="15"/>
      <c r="C10" s="16"/>
      <c r="D10" s="15"/>
      <c r="E10" s="15"/>
      <c r="F10" s="15"/>
      <c r="G10" s="17"/>
      <c r="H10" s="17"/>
      <c r="I10" s="17"/>
      <c r="J10" s="17"/>
      <c r="K10" s="17"/>
      <c r="L10" s="17"/>
      <c r="M10" s="18">
        <f>SUM(G10:L10)</f>
        <v>0</v>
      </c>
      <c r="N10" s="16"/>
    </row>
    <row r="11" spans="1:14">
      <c r="A11" s="14" t="str">
        <f>IF(C11="","","B-"&amp;TEXT(ROW()-3,"000"))</f>
        <v/>
      </c>
      <c r="B11" s="15"/>
      <c r="C11" s="16"/>
      <c r="D11" s="15"/>
      <c r="E11" s="15"/>
      <c r="F11" s="15"/>
      <c r="G11" s="17"/>
      <c r="H11" s="17"/>
      <c r="I11" s="17"/>
      <c r="J11" s="17"/>
      <c r="K11" s="17"/>
      <c r="L11" s="17"/>
      <c r="M11" s="18">
        <f>SUM(G11:L11)</f>
        <v>0</v>
      </c>
      <c r="N11" s="16"/>
    </row>
    <row r="12" spans="1:14">
      <c r="A12" s="14" t="str">
        <f>IF(C12="","","B-"&amp;TEXT(ROW()-3,"000"))</f>
        <v/>
      </c>
      <c r="B12" s="15"/>
      <c r="C12" s="16"/>
      <c r="D12" s="15"/>
      <c r="E12" s="15"/>
      <c r="F12" s="15"/>
      <c r="G12" s="17"/>
      <c r="H12" s="17"/>
      <c r="I12" s="17"/>
      <c r="J12" s="17"/>
      <c r="K12" s="17"/>
      <c r="L12" s="17"/>
      <c r="M12" s="18">
        <f>SUM(G12:L12)</f>
        <v>0</v>
      </c>
      <c r="N12" s="16"/>
    </row>
    <row r="13" spans="1:14">
      <c r="A13" s="14" t="str">
        <f>IF(C13="","","B-"&amp;TEXT(ROW()-3,"000"))</f>
        <v/>
      </c>
      <c r="B13" s="15"/>
      <c r="C13" s="16"/>
      <c r="D13" s="15"/>
      <c r="E13" s="15"/>
      <c r="F13" s="15"/>
      <c r="G13" s="17"/>
      <c r="H13" s="17"/>
      <c r="I13" s="17"/>
      <c r="J13" s="17"/>
      <c r="K13" s="17"/>
      <c r="L13" s="17"/>
      <c r="M13" s="18">
        <f>SUM(G13:L13)</f>
        <v>0</v>
      </c>
      <c r="N13" s="16"/>
    </row>
    <row r="14" spans="1:14">
      <c r="A14" s="14" t="str">
        <f>IF(C14="","","B-"&amp;TEXT(ROW()-3,"000"))</f>
        <v/>
      </c>
      <c r="B14" s="15"/>
      <c r="C14" s="16"/>
      <c r="D14" s="15"/>
      <c r="E14" s="15"/>
      <c r="F14" s="15"/>
      <c r="G14" s="17"/>
      <c r="H14" s="17"/>
      <c r="I14" s="17"/>
      <c r="J14" s="17"/>
      <c r="K14" s="17"/>
      <c r="L14" s="17"/>
      <c r="M14" s="18">
        <f>SUM(G14:L14)</f>
        <v>0</v>
      </c>
      <c r="N14" s="16"/>
    </row>
    <row r="15" spans="1:14">
      <c r="A15" s="14" t="str">
        <f>IF(C15="","","B-"&amp;TEXT(ROW()-3,"000"))</f>
        <v/>
      </c>
      <c r="B15" s="15"/>
      <c r="C15" s="16"/>
      <c r="D15" s="15"/>
      <c r="E15" s="15"/>
      <c r="F15" s="15"/>
      <c r="G15" s="17"/>
      <c r="H15" s="17"/>
      <c r="I15" s="17"/>
      <c r="J15" s="17"/>
      <c r="K15" s="17"/>
      <c r="L15" s="17"/>
      <c r="M15" s="18">
        <f>SUM(G15:L15)</f>
        <v>0</v>
      </c>
      <c r="N15" s="16"/>
    </row>
    <row r="16" spans="1:14">
      <c r="A16" s="14" t="str">
        <f>IF(C16="","","B-"&amp;TEXT(ROW()-3,"000"))</f>
        <v/>
      </c>
      <c r="B16" s="15"/>
      <c r="C16" s="16"/>
      <c r="D16" s="15"/>
      <c r="E16" s="15"/>
      <c r="F16" s="15"/>
      <c r="G16" s="17"/>
      <c r="H16" s="17"/>
      <c r="I16" s="17"/>
      <c r="J16" s="17"/>
      <c r="K16" s="17"/>
      <c r="L16" s="17"/>
      <c r="M16" s="18">
        <f>SUM(G16:L16)</f>
        <v>0</v>
      </c>
      <c r="N16" s="16"/>
    </row>
    <row r="17" spans="1:14">
      <c r="A17" s="14" t="str">
        <f>IF(C17="","","B-"&amp;TEXT(ROW()-3,"000"))</f>
        <v/>
      </c>
      <c r="B17" s="15"/>
      <c r="C17" s="16"/>
      <c r="D17" s="15"/>
      <c r="E17" s="15"/>
      <c r="F17" s="15"/>
      <c r="G17" s="17"/>
      <c r="H17" s="17"/>
      <c r="I17" s="17"/>
      <c r="J17" s="17"/>
      <c r="K17" s="17"/>
      <c r="L17" s="17"/>
      <c r="M17" s="18">
        <f>SUM(G17:L17)</f>
        <v>0</v>
      </c>
      <c r="N17" s="16"/>
    </row>
    <row r="18" spans="1:14">
      <c r="A18" s="14" t="str">
        <f>IF(C18="","","B-"&amp;TEXT(ROW()-3,"000"))</f>
        <v/>
      </c>
      <c r="B18" s="15"/>
      <c r="C18" s="16"/>
      <c r="D18" s="15"/>
      <c r="E18" s="15"/>
      <c r="F18" s="15"/>
      <c r="G18" s="17"/>
      <c r="H18" s="17"/>
      <c r="I18" s="17"/>
      <c r="J18" s="17"/>
      <c r="K18" s="17"/>
      <c r="L18" s="17"/>
      <c r="M18" s="18">
        <f>SUM(G18:L18)</f>
        <v>0</v>
      </c>
      <c r="N18" s="16"/>
    </row>
    <row r="19" spans="1:14">
      <c r="A19" s="14" t="str">
        <f>IF(C19="","","B-"&amp;TEXT(ROW()-3,"000"))</f>
        <v/>
      </c>
      <c r="B19" s="15"/>
      <c r="C19" s="16"/>
      <c r="D19" s="15"/>
      <c r="E19" s="15"/>
      <c r="F19" s="15"/>
      <c r="G19" s="17"/>
      <c r="H19" s="17"/>
      <c r="I19" s="17"/>
      <c r="J19" s="17"/>
      <c r="K19" s="17"/>
      <c r="L19" s="17"/>
      <c r="M19" s="18">
        <f>SUM(G19:L19)</f>
        <v>0</v>
      </c>
      <c r="N19" s="16"/>
    </row>
    <row r="20" spans="1:14">
      <c r="A20" s="14" t="str">
        <f>IF(C20="","","B-"&amp;TEXT(ROW()-3,"000"))</f>
        <v/>
      </c>
      <c r="B20" s="15"/>
      <c r="C20" s="16"/>
      <c r="D20" s="15"/>
      <c r="E20" s="15"/>
      <c r="F20" s="15"/>
      <c r="G20" s="17"/>
      <c r="H20" s="17"/>
      <c r="I20" s="17"/>
      <c r="J20" s="17"/>
      <c r="K20" s="17"/>
      <c r="L20" s="17"/>
      <c r="M20" s="18">
        <f>SUM(G20:L20)</f>
        <v>0</v>
      </c>
      <c r="N20" s="16"/>
    </row>
    <row r="21" spans="1:14">
      <c r="A21" s="14" t="str">
        <f>IF(C21="","","B-"&amp;TEXT(ROW()-3,"000"))</f>
        <v/>
      </c>
      <c r="B21" s="15"/>
      <c r="C21" s="16"/>
      <c r="D21" s="15"/>
      <c r="E21" s="15"/>
      <c r="F21" s="15"/>
      <c r="G21" s="17"/>
      <c r="H21" s="17"/>
      <c r="I21" s="17"/>
      <c r="J21" s="17"/>
      <c r="K21" s="17"/>
      <c r="L21" s="17"/>
      <c r="M21" s="18">
        <f>SUM(G21:L21)</f>
        <v>0</v>
      </c>
      <c r="N21" s="16"/>
    </row>
    <row r="22" spans="1:14">
      <c r="A22" s="14" t="str">
        <f>IF(C22="","","B-"&amp;TEXT(ROW()-3,"000"))</f>
        <v/>
      </c>
      <c r="B22" s="15"/>
      <c r="C22" s="16"/>
      <c r="D22" s="15"/>
      <c r="E22" s="15"/>
      <c r="F22" s="15"/>
      <c r="G22" s="17"/>
      <c r="H22" s="17"/>
      <c r="I22" s="17"/>
      <c r="J22" s="17"/>
      <c r="K22" s="17"/>
      <c r="L22" s="17"/>
      <c r="M22" s="18">
        <f>SUM(G22:L22)</f>
        <v>0</v>
      </c>
      <c r="N22" s="16"/>
    </row>
    <row r="23" spans="1:14">
      <c r="A23" s="14" t="str">
        <f>IF(C23="","","B-"&amp;TEXT(ROW()-3,"000"))</f>
        <v/>
      </c>
      <c r="B23" s="15"/>
      <c r="C23" s="16"/>
      <c r="D23" s="15"/>
      <c r="E23" s="15"/>
      <c r="F23" s="15"/>
      <c r="G23" s="17"/>
      <c r="H23" s="17"/>
      <c r="I23" s="17"/>
      <c r="J23" s="17"/>
      <c r="K23" s="17"/>
      <c r="L23" s="17"/>
      <c r="M23" s="18">
        <f>SUM(G23:L23)</f>
        <v>0</v>
      </c>
      <c r="N23" s="16"/>
    </row>
    <row r="24" spans="1:14">
      <c r="A24" s="14" t="str">
        <f>IF(C24="","","B-"&amp;TEXT(ROW()-3,"000"))</f>
        <v/>
      </c>
      <c r="B24" s="15"/>
      <c r="C24" s="16"/>
      <c r="D24" s="15"/>
      <c r="E24" s="15"/>
      <c r="F24" s="15"/>
      <c r="G24" s="17"/>
      <c r="H24" s="17"/>
      <c r="I24" s="17"/>
      <c r="J24" s="17"/>
      <c r="K24" s="17"/>
      <c r="L24" s="17"/>
      <c r="M24" s="18">
        <f>SUM(G24:L24)</f>
        <v>0</v>
      </c>
      <c r="N24" s="16"/>
    </row>
    <row r="25" spans="1:14">
      <c r="A25" s="14" t="str">
        <f>IF(C25="","","B-"&amp;TEXT(ROW()-3,"000"))</f>
        <v/>
      </c>
      <c r="B25" s="15"/>
      <c r="C25" s="16"/>
      <c r="D25" s="15"/>
      <c r="E25" s="15"/>
      <c r="F25" s="15"/>
      <c r="G25" s="17"/>
      <c r="H25" s="17"/>
      <c r="I25" s="17"/>
      <c r="J25" s="17"/>
      <c r="K25" s="17"/>
      <c r="L25" s="17"/>
      <c r="M25" s="18">
        <f>SUM(G25:L25)</f>
        <v>0</v>
      </c>
      <c r="N25" s="16"/>
    </row>
    <row r="26" spans="1:14">
      <c r="A26" s="14" t="str">
        <f>IF(C26="","","B-"&amp;TEXT(ROW()-3,"000"))</f>
        <v/>
      </c>
      <c r="B26" s="15"/>
      <c r="C26" s="16"/>
      <c r="D26" s="15"/>
      <c r="E26" s="15"/>
      <c r="F26" s="15"/>
      <c r="G26" s="17"/>
      <c r="H26" s="17"/>
      <c r="I26" s="17"/>
      <c r="J26" s="17"/>
      <c r="K26" s="17"/>
      <c r="L26" s="17"/>
      <c r="M26" s="18">
        <f>SUM(G26:L26)</f>
        <v>0</v>
      </c>
      <c r="N26" s="16"/>
    </row>
    <row r="27" spans="1:14">
      <c r="A27" s="14" t="str">
        <f>IF(C27="","","B-"&amp;TEXT(ROW()-3,"000"))</f>
        <v/>
      </c>
      <c r="B27" s="15"/>
      <c r="C27" s="16"/>
      <c r="D27" s="15"/>
      <c r="E27" s="15"/>
      <c r="F27" s="15"/>
      <c r="G27" s="17"/>
      <c r="H27" s="17"/>
      <c r="I27" s="17"/>
      <c r="J27" s="17"/>
      <c r="K27" s="17"/>
      <c r="L27" s="17"/>
      <c r="M27" s="18">
        <f>SUM(G27:L27)</f>
        <v>0</v>
      </c>
      <c r="N27" s="16"/>
    </row>
    <row r="28" spans="1:14">
      <c r="A28" s="14" t="str">
        <f>IF(C28="","","B-"&amp;TEXT(ROW()-3,"000"))</f>
        <v/>
      </c>
      <c r="B28" s="15"/>
      <c r="C28" s="16"/>
      <c r="D28" s="15"/>
      <c r="E28" s="15"/>
      <c r="F28" s="15"/>
      <c r="G28" s="17"/>
      <c r="H28" s="17"/>
      <c r="I28" s="17"/>
      <c r="J28" s="17"/>
      <c r="K28" s="17"/>
      <c r="L28" s="17"/>
      <c r="M28" s="18">
        <f>SUM(G28:L28)</f>
        <v>0</v>
      </c>
      <c r="N28" s="16"/>
    </row>
    <row r="29" spans="1:14">
      <c r="A29" s="14" t="str">
        <f>IF(C29="","","B-"&amp;TEXT(ROW()-3,"000"))</f>
        <v/>
      </c>
      <c r="B29" s="15"/>
      <c r="C29" s="16"/>
      <c r="D29" s="15"/>
      <c r="E29" s="15"/>
      <c r="F29" s="15"/>
      <c r="G29" s="17"/>
      <c r="H29" s="17"/>
      <c r="I29" s="17"/>
      <c r="J29" s="17"/>
      <c r="K29" s="17"/>
      <c r="L29" s="17"/>
      <c r="M29" s="18">
        <f>SUM(G29:L29)</f>
        <v>0</v>
      </c>
      <c r="N29" s="16"/>
    </row>
    <row r="30" spans="1:14">
      <c r="A30" s="14" t="str">
        <f>IF(C30="","","B-"&amp;TEXT(ROW()-3,"000"))</f>
        <v/>
      </c>
      <c r="B30" s="15"/>
      <c r="C30" s="16"/>
      <c r="D30" s="15"/>
      <c r="E30" s="15"/>
      <c r="F30" s="15"/>
      <c r="G30" s="17"/>
      <c r="H30" s="17"/>
      <c r="I30" s="17"/>
      <c r="J30" s="17"/>
      <c r="K30" s="17"/>
      <c r="L30" s="17"/>
      <c r="M30" s="18">
        <f>SUM(G30:L30)</f>
        <v>0</v>
      </c>
      <c r="N30" s="16"/>
    </row>
    <row r="31" spans="1:14">
      <c r="A31" s="14" t="str">
        <f>IF(C31="","","B-"&amp;TEXT(ROW()-3,"000"))</f>
        <v/>
      </c>
      <c r="B31" s="15"/>
      <c r="C31" s="16"/>
      <c r="D31" s="15"/>
      <c r="E31" s="15"/>
      <c r="F31" s="15"/>
      <c r="G31" s="17"/>
      <c r="H31" s="17"/>
      <c r="I31" s="17"/>
      <c r="J31" s="17"/>
      <c r="K31" s="17"/>
      <c r="L31" s="17"/>
      <c r="M31" s="18">
        <f>SUM(G31:L31)</f>
        <v>0</v>
      </c>
      <c r="N31" s="16"/>
    </row>
    <row r="32" spans="1:14">
      <c r="A32" s="14" t="str">
        <f>IF(C32="","","B-"&amp;TEXT(ROW()-3,"000"))</f>
        <v/>
      </c>
      <c r="B32" s="15"/>
      <c r="C32" s="16"/>
      <c r="D32" s="15"/>
      <c r="E32" s="15"/>
      <c r="F32" s="15"/>
      <c r="G32" s="17"/>
      <c r="H32" s="17"/>
      <c r="I32" s="17"/>
      <c r="J32" s="17"/>
      <c r="K32" s="17"/>
      <c r="L32" s="17"/>
      <c r="M32" s="18">
        <f>SUM(G32:L32)</f>
        <v>0</v>
      </c>
      <c r="N32" s="16"/>
    </row>
    <row r="33" spans="1:14">
      <c r="A33" s="14" t="str">
        <f>IF(C33="","","B-"&amp;TEXT(ROW()-3,"000"))</f>
        <v/>
      </c>
      <c r="B33" s="15"/>
      <c r="C33" s="16"/>
      <c r="D33" s="15"/>
      <c r="E33" s="15"/>
      <c r="F33" s="15"/>
      <c r="G33" s="17"/>
      <c r="H33" s="17"/>
      <c r="I33" s="17"/>
      <c r="J33" s="17"/>
      <c r="K33" s="17"/>
      <c r="L33" s="17"/>
      <c r="M33" s="18">
        <f>SUM(G33:L33)</f>
        <v>0</v>
      </c>
      <c r="N33" s="16"/>
    </row>
    <row r="34" spans="1:14">
      <c r="A34" s="20"/>
      <c r="B34" s="19" t="s">
        <v>79</v>
      </c>
      <c r="C34" s="20"/>
      <c r="D34" s="20"/>
      <c r="E34" s="20"/>
      <c r="F34" s="20"/>
      <c r="G34" s="21">
        <f>SUM(G4:G33)</f>
        <v>0</v>
      </c>
      <c r="H34" s="21">
        <f>SUM(H4:H33)</f>
        <v>0</v>
      </c>
      <c r="I34" s="21">
        <f>SUM(I4:I33)</f>
        <v>0</v>
      </c>
      <c r="J34" s="21">
        <f>SUM(J4:J33)</f>
        <v>0</v>
      </c>
      <c r="K34" s="21">
        <f>SUM(K4:K33)</f>
        <v>0</v>
      </c>
      <c r="L34" s="21">
        <f>SUM(L4:L33)</f>
        <v>0</v>
      </c>
      <c r="M34" s="21">
        <f>SUM(M4:M33)</f>
        <v>0</v>
      </c>
      <c r="N34" s="20"/>
    </row>
    <row r="35" spans="1:14">
      <c r="A35" s="22"/>
      <c r="B35" s="23" t="s">
        <v>80</v>
      </c>
      <c r="C35" s="22"/>
      <c r="D35" s="22"/>
      <c r="E35" s="22"/>
      <c r="F35" s="22"/>
      <c r="G35" s="24">
        <f>SUMIF($D$4:$D$33,"Hard (quantified $)",G4:G33)</f>
        <v>0</v>
      </c>
      <c r="H35" s="24">
        <f>SUMIF($D$4:$D$33,"Hard (quantified $)",H4:H33)</f>
        <v>0</v>
      </c>
      <c r="I35" s="24">
        <f>SUMIF($D$4:$D$33,"Hard (quantified $)",I4:I33)</f>
        <v>0</v>
      </c>
      <c r="J35" s="24">
        <f>SUMIF($D$4:$D$33,"Hard (quantified $)",J4:J33)</f>
        <v>0</v>
      </c>
      <c r="K35" s="24">
        <f>SUMIF($D$4:$D$33,"Hard (quantified $)",K4:K33)</f>
        <v>0</v>
      </c>
      <c r="L35" s="24">
        <f>SUMIF($D$4:$D$33,"Hard (quantified $)",L4:L33)</f>
        <v>0</v>
      </c>
      <c r="M35" s="24">
        <f>SUMIF($D$4:$D$33,"Hard (quantified $)",M4:M33)</f>
        <v>0</v>
      </c>
      <c r="N35" s="22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400-000000000000}">
          <x14:formula1>
            <xm:f>Lists!$B$2:$B$9</xm:f>
          </x14:formula1>
          <x14:formula2>
            <xm:f>0</xm:f>
          </x14:formula2>
          <xm:sqref>B4:B33</xm:sqref>
        </x14:dataValidation>
        <x14:dataValidation type="list" allowBlank="1" xr:uid="{00000000-0002-0000-0400-000001000000}">
          <x14:formula1>
            <xm:f>Lists!$D$2:$D$3</xm:f>
          </x14:formula1>
          <x14:formula2>
            <xm:f>0</xm:f>
          </x14:formula2>
          <xm:sqref>D4:D33</xm:sqref>
        </x14:dataValidation>
        <x14:dataValidation type="list" allowBlank="1" xr:uid="{00000000-0002-0000-0400-000002000000}">
          <x14:formula1>
            <xm:f>Lists!$E$2:$E$4</xm:f>
          </x14:formula1>
          <x14:formula2>
            <xm:f>0</xm:f>
          </x14:formula2>
          <xm:sqref>F4:F33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showGridLines="0" zoomScaleNormal="100" workbookViewId="0"/>
  </sheetViews>
  <sheetFormatPr defaultColWidth="8.7109375" defaultRowHeight="15"/>
  <cols>
    <col min="1" max="1" width="28" customWidth="1"/>
    <col min="2" max="7" width="13" customWidth="1"/>
  </cols>
  <sheetData>
    <row r="1" spans="1:7" ht="19.7">
      <c r="A1" s="1" t="s">
        <v>81</v>
      </c>
    </row>
    <row r="2" spans="1:7">
      <c r="A2" s="2" t="s">
        <v>82</v>
      </c>
    </row>
    <row r="4" spans="1:7">
      <c r="A4" s="2" t="s">
        <v>83</v>
      </c>
      <c r="B4" s="9" t="s">
        <v>68</v>
      </c>
      <c r="C4" s="9" t="s">
        <v>69</v>
      </c>
      <c r="D4" s="9" t="s">
        <v>70</v>
      </c>
      <c r="E4" s="9" t="s">
        <v>71</v>
      </c>
      <c r="F4" s="9" t="s">
        <v>72</v>
      </c>
      <c r="G4" s="9" t="s">
        <v>73</v>
      </c>
    </row>
    <row r="5" spans="1:7">
      <c r="A5" s="10" t="s">
        <v>84</v>
      </c>
      <c r="B5" s="18">
        <f>'Cost Inputs'!G34</f>
        <v>0</v>
      </c>
      <c r="C5" s="18">
        <f>'Cost Inputs'!H34</f>
        <v>0</v>
      </c>
      <c r="D5" s="18">
        <f>'Cost Inputs'!I34</f>
        <v>0</v>
      </c>
      <c r="E5" s="18">
        <f>'Cost Inputs'!J34</f>
        <v>0</v>
      </c>
      <c r="F5" s="18">
        <f>'Cost Inputs'!K34</f>
        <v>0</v>
      </c>
      <c r="G5" s="18">
        <f>'Cost Inputs'!L34</f>
        <v>0</v>
      </c>
    </row>
    <row r="6" spans="1:7">
      <c r="A6" s="10" t="s">
        <v>85</v>
      </c>
      <c r="B6" s="18">
        <f>'Benefit Inputs'!G35</f>
        <v>0</v>
      </c>
      <c r="C6" s="18">
        <f>'Benefit Inputs'!H35</f>
        <v>0</v>
      </c>
      <c r="D6" s="18">
        <f>'Benefit Inputs'!I35</f>
        <v>0</v>
      </c>
      <c r="E6" s="18">
        <f>'Benefit Inputs'!J35</f>
        <v>0</v>
      </c>
      <c r="F6" s="18">
        <f>'Benefit Inputs'!K35</f>
        <v>0</v>
      </c>
      <c r="G6" s="18">
        <f>'Benefit Inputs'!L35</f>
        <v>0</v>
      </c>
    </row>
    <row r="7" spans="1:7">
      <c r="A7" s="10" t="s">
        <v>86</v>
      </c>
      <c r="B7" s="18">
        <f>B6-B5</f>
        <v>0</v>
      </c>
      <c r="C7" s="18">
        <f>C6-C5</f>
        <v>0</v>
      </c>
      <c r="D7" s="18">
        <f>D6-D5</f>
        <v>0</v>
      </c>
      <c r="E7" s="18">
        <f>E6-E5</f>
        <v>0</v>
      </c>
      <c r="F7" s="18">
        <f>F6-F5</f>
        <v>0</v>
      </c>
      <c r="G7" s="18">
        <f>G6-G5</f>
        <v>0</v>
      </c>
    </row>
    <row r="8" spans="1:7">
      <c r="A8" s="10" t="s">
        <v>87</v>
      </c>
      <c r="B8" s="18">
        <f>B7</f>
        <v>0</v>
      </c>
      <c r="C8" s="18">
        <f>B8+C7</f>
        <v>0</v>
      </c>
      <c r="D8" s="18">
        <f>C8+D7</f>
        <v>0</v>
      </c>
      <c r="E8" s="18">
        <f>D8+E7</f>
        <v>0</v>
      </c>
      <c r="F8" s="18">
        <f>E8+F7</f>
        <v>0</v>
      </c>
      <c r="G8" s="18">
        <f>F8+G7</f>
        <v>0</v>
      </c>
    </row>
    <row r="9" spans="1:7">
      <c r="A9" s="10" t="s">
        <v>88</v>
      </c>
      <c r="B9" s="25">
        <f>1/(1+Assumptions!$B$8)^0</f>
        <v>1</v>
      </c>
      <c r="C9" s="25">
        <f>1/(1+Assumptions!$B$8)^1</f>
        <v>0.90909090909090906</v>
      </c>
      <c r="D9" s="25">
        <f>1/(1+Assumptions!$B$8)^2</f>
        <v>0.82644628099173545</v>
      </c>
      <c r="E9" s="25">
        <f>1/(1+Assumptions!$B$8)^3</f>
        <v>0.75131480090157754</v>
      </c>
      <c r="F9" s="25">
        <f>1/(1+Assumptions!$B$8)^4</f>
        <v>0.68301345536507052</v>
      </c>
      <c r="G9" s="25">
        <f>1/(1+Assumptions!$B$8)^5</f>
        <v>0.62092132305915493</v>
      </c>
    </row>
    <row r="10" spans="1:7">
      <c r="A10" s="10" t="s">
        <v>89</v>
      </c>
      <c r="B10" s="18">
        <f>B7*B9</f>
        <v>0</v>
      </c>
      <c r="C10" s="18">
        <f>C7*C9</f>
        <v>0</v>
      </c>
      <c r="D10" s="18">
        <f>D7*D9</f>
        <v>0</v>
      </c>
      <c r="E10" s="18">
        <f>E7*E9</f>
        <v>0</v>
      </c>
      <c r="F10" s="18">
        <f>F7*F9</f>
        <v>0</v>
      </c>
      <c r="G10" s="18">
        <f>G7*G9</f>
        <v>0</v>
      </c>
    </row>
    <row r="11" spans="1:7" ht="23.85">
      <c r="A11" s="10" t="s">
        <v>90</v>
      </c>
      <c r="B11" s="18">
        <f>B10</f>
        <v>0</v>
      </c>
      <c r="C11" s="18">
        <f>B11+C10</f>
        <v>0</v>
      </c>
      <c r="D11" s="18">
        <f>C11+D10</f>
        <v>0</v>
      </c>
      <c r="E11" s="18">
        <f>D11+E10</f>
        <v>0</v>
      </c>
      <c r="F11" s="18">
        <f>E11+F10</f>
        <v>0</v>
      </c>
      <c r="G11" s="18">
        <f>F11+G10</f>
        <v>0</v>
      </c>
    </row>
    <row r="14" spans="1:7">
      <c r="A14" s="30" t="s">
        <v>91</v>
      </c>
      <c r="B14" s="30"/>
    </row>
    <row r="15" spans="1:7">
      <c r="A15" s="10" t="s">
        <v>92</v>
      </c>
      <c r="B15" s="18">
        <f>SUM(B5:G5)</f>
        <v>0</v>
      </c>
    </row>
    <row r="16" spans="1:7">
      <c r="A16" s="10" t="s">
        <v>93</v>
      </c>
      <c r="B16" s="18">
        <f>SUM(B6:G6)</f>
        <v>0</v>
      </c>
    </row>
    <row r="17" spans="1:2">
      <c r="A17" s="10" t="s">
        <v>94</v>
      </c>
      <c r="B17" s="18">
        <f>B16-B15</f>
        <v>0</v>
      </c>
    </row>
    <row r="18" spans="1:2">
      <c r="A18" s="10" t="s">
        <v>95</v>
      </c>
      <c r="B18" s="26" t="str">
        <f>IF(B15=0,"-",B17/B15)</f>
        <v>-</v>
      </c>
    </row>
    <row r="19" spans="1:2" ht="23.85">
      <c r="A19" s="10" t="s">
        <v>96</v>
      </c>
      <c r="B19" s="18">
        <f>NPV(Assumptions!$B$8,C7:G7)+B7</f>
        <v>0</v>
      </c>
    </row>
    <row r="20" spans="1:2">
      <c r="A20" s="10" t="s">
        <v>97</v>
      </c>
      <c r="B20" s="27" t="str">
        <f>IFERROR(IRR(B7:G7),"n/a")</f>
        <v>n/a</v>
      </c>
    </row>
    <row r="21" spans="1:2" ht="23.85">
      <c r="A21" s="10" t="s">
        <v>98</v>
      </c>
      <c r="B21" s="28">
        <f>IFERROR(IF(MATCH(TRUE(),INDEX(B8:G8&gt;=0,0),0)=1,0,(MATCH(TRUE(),INDEX(B8:G8&gt;=0,0),0)-2)+(-INDEX(B8:G8,MATCH(TRUE(),INDEX(B8:G8&gt;=0,0),0)-1)/INDEX(B7:G7,MATCH(TRUE(),INDEX(B8:G8&gt;=0,0),0)))),"n/a")</f>
        <v>0</v>
      </c>
    </row>
    <row r="22" spans="1:2" ht="23.85">
      <c r="A22" s="10" t="s">
        <v>99</v>
      </c>
      <c r="B22" s="28">
        <f>IFERROR(IF(MATCH(TRUE(),INDEX(B11:G11&gt;=0,0),0)=1,0,(MATCH(TRUE(),INDEX(B11:G11&gt;=0,0),0)-2)+(-INDEX(B11:G11,MATCH(TRUE(),INDEX(B11:G11&gt;=0,0),0)-1)/INDEX(B10:G10,MATCH(TRUE(),INDEX(B11:G11&gt;=0,0),0)))),"n/a")</f>
        <v>0</v>
      </c>
    </row>
    <row r="24" spans="1:2" ht="74.650000000000006">
      <c r="A24" s="29" t="s">
        <v>100</v>
      </c>
    </row>
  </sheetData>
  <mergeCells count="1">
    <mergeCell ref="A14:B14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7e42320-c381-4d5c-a06d-fb941b9287c9">
      <Terms xmlns="http://schemas.microsoft.com/office/infopath/2007/PartnerControls"/>
    </lcf76f155ced4ddcb4097134ff3c332f>
    <TaxCatchAll xmlns="e4cee1ae-901f-403b-af36-81ae1c6bd84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922E2066466747B06F5A2CB1EF004C" ma:contentTypeVersion="12" ma:contentTypeDescription="Create a new document." ma:contentTypeScope="" ma:versionID="031a2767ff50ac2aeb7997cb1dfed522">
  <xsd:schema xmlns:xsd="http://www.w3.org/2001/XMLSchema" xmlns:xs="http://www.w3.org/2001/XMLSchema" xmlns:p="http://schemas.microsoft.com/office/2006/metadata/properties" xmlns:ns2="e7e42320-c381-4d5c-a06d-fb941b9287c9" xmlns:ns3="e4cee1ae-901f-403b-af36-81ae1c6bd840" targetNamespace="http://schemas.microsoft.com/office/2006/metadata/properties" ma:root="true" ma:fieldsID="160ccc0bc4b8391b4323b42fe79fe202" ns2:_="" ns3:_="">
    <xsd:import namespace="e7e42320-c381-4d5c-a06d-fb941b9287c9"/>
    <xsd:import namespace="e4cee1ae-901f-403b-af36-81ae1c6bd8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e42320-c381-4d5c-a06d-fb941b9287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19edae7-b79a-4a5e-b725-af92424e05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cee1ae-901f-403b-af36-81ae1c6bd84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2537be7-019f-49ec-95ad-57224fc3b453}" ma:internalName="TaxCatchAll" ma:showField="CatchAllData" ma:web="e4cee1ae-901f-403b-af36-81ae1c6bd8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8720C3-5541-4E25-A1EC-6CD1E0A45DDD}"/>
</file>

<file path=customXml/itemProps2.xml><?xml version="1.0" encoding="utf-8"?>
<ds:datastoreItem xmlns:ds="http://schemas.openxmlformats.org/officeDocument/2006/customXml" ds:itemID="{4CCA7FEA-2DDC-4322-A274-7EF9FA0F4F3E}"/>
</file>

<file path=customXml/itemProps3.xml><?xml version="1.0" encoding="utf-8"?>
<ds:datastoreItem xmlns:ds="http://schemas.openxmlformats.org/officeDocument/2006/customXml" ds:itemID="{164C3CBB-108A-44CC-B61A-173FB3F9D9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2026-07-02T16:14:30Z</dcterms:created>
  <dcterms:modified xsi:type="dcterms:W3CDTF">2026-07-30T21:26:53Z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0x010100E3922E2066466747B06F5A2CB1EF004C</vt:lpwstr>
  </property>
  <property fmtid="{D5CDD505-2E9C-101B-9397-08002B2CF9AE}" pid="3" name="MediaServiceImageTags">
    <vt:lpwstr/>
  </property>
</Properties>
</file>