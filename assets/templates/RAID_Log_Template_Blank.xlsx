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5B702434-3F52-4885-8087-1CD2F40FC61C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Instructions" sheetId="1" r:id="rId1"/>
    <sheet name="Lists" sheetId="2" r:id="rId2"/>
    <sheet name="RAID Log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3" l="1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G14" i="3"/>
  <c r="A14" i="3"/>
  <c r="G13" i="3"/>
  <c r="A13" i="3"/>
  <c r="G12" i="3"/>
  <c r="A12" i="3"/>
  <c r="G11" i="3"/>
  <c r="A11" i="3"/>
  <c r="G10" i="3"/>
  <c r="A10" i="3"/>
  <c r="G9" i="3"/>
  <c r="A9" i="3"/>
  <c r="G8" i="3"/>
  <c r="A8" i="3"/>
  <c r="G7" i="3"/>
  <c r="A7" i="3"/>
  <c r="G6" i="3"/>
  <c r="A6" i="3"/>
  <c r="G5" i="3"/>
  <c r="A5" i="3"/>
  <c r="G4" i="3"/>
  <c r="A4" i="3"/>
</calcChain>
</file>

<file path=xl/sharedStrings.xml><?xml version="1.0" encoding="utf-8"?>
<sst xmlns="http://schemas.openxmlformats.org/spreadsheetml/2006/main" count="59" uniqueCount="45">
  <si>
    <t>RAID Log Template</t>
  </si>
  <si>
    <t>A single log for tracking Risks, Assumptions, Issues, and Dependencies across a project or initiative.</t>
  </si>
  <si>
    <t>How to use this workbook</t>
  </si>
  <si>
    <t>1. RAID Log — one row per item. Use the Type dropdown to classify it as a Risk, Assumption, Issue, or Dependency.</t>
  </si>
  <si>
    <t xml:space="preserve">     • Risk: something that might happen and would negatively affect the project if it does.</t>
  </si>
  <si>
    <t xml:space="preserve">     • Assumption: something believed to be true that the plan depends on, but hasn't been confirmed.</t>
  </si>
  <si>
    <t xml:space="preserve">     • Issue: something that has already happened and needs resolution now.</t>
  </si>
  <si>
    <t xml:space="preserve">     • Dependency: something the project relies on from outside the team's direct control (a team, system, or decision).</t>
  </si>
  <si>
    <t>2. For Risks, set Impact and Probability — the Risk Score (Impact x Probability) auto-calculates to help prioritize.</t>
  </si>
  <si>
    <t>3. Track Status and Target Resolution Date so items don't go stale; review the log on a regular cadence (e.g., weekly).</t>
  </si>
  <si>
    <t>4. Lists tab — edit the dropdown source lists (Type, Priority, Status, Impact, Probability) to match your project.</t>
  </si>
  <si>
    <t>Formatting key</t>
  </si>
  <si>
    <t>Blue text = input cell (edit me)</t>
  </si>
  <si>
    <t>Black text = formula (do not overwrite)</t>
  </si>
  <si>
    <t>Row color reflects Type: Risk (red-tinted), Assumption (blue-tinted), Issue (amber-tinted), Dependency (purple-tinted)</t>
  </si>
  <si>
    <t>Type</t>
  </si>
  <si>
    <t>Priority</t>
  </si>
  <si>
    <t>Status</t>
  </si>
  <si>
    <t>Impact</t>
  </si>
  <si>
    <t>Probability</t>
  </si>
  <si>
    <t>Score Mapping (for Risk Score formula)</t>
  </si>
  <si>
    <t>Risk</t>
  </si>
  <si>
    <t>High</t>
  </si>
  <si>
    <t>Open</t>
  </si>
  <si>
    <t>Assumption</t>
  </si>
  <si>
    <t>Medium</t>
  </si>
  <si>
    <t>In Progress</t>
  </si>
  <si>
    <t>Issue</t>
  </si>
  <si>
    <t>Low</t>
  </si>
  <si>
    <t>Mitigated</t>
  </si>
  <si>
    <t>Dependency</t>
  </si>
  <si>
    <t>Escalated</t>
  </si>
  <si>
    <t>Closed</t>
  </si>
  <si>
    <t>RAID Log</t>
  </si>
  <si>
    <t>One row per Risk, Assumption, Issue, or Dependency. Risk Score auto-calculates for items typed as Risk.</t>
  </si>
  <si>
    <t>ID</t>
  </si>
  <si>
    <t>Description</t>
  </si>
  <si>
    <t>Category / Area</t>
  </si>
  <si>
    <t>Risk Score</t>
  </si>
  <si>
    <t>Owner</t>
  </si>
  <si>
    <t>Date Raised</t>
  </si>
  <si>
    <t>Target Resolution Date</t>
  </si>
  <si>
    <t>Mitigation / Action Plan</t>
  </si>
  <si>
    <t>Related Items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</si>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</sst>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9"/>
      <color rgb="FF7F7F7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0070C0"/>
        <bgColor rgb="FF0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E2D9F3"/>
        </patternFill>
      </fill>
    </dxf>
    <dxf>
      <fill>
        <patternFill>
          <bgColor rgb="FFFFE699"/>
        </patternFill>
      </fill>
    </dxf>
    <dxf>
      <fill>
        <patternFill>
          <bgColor rgb="FFD9E7F5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9E7F5"/>
      <rgbColor rgb="FF660066"/>
      <rgbColor rgb="FFFF8080"/>
      <rgbColor rgb="FF0070C0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8"/>
  <sheetViews>
    <sheetView showGridLines="0" tabSelected="1" zoomScaleNormal="100" workbookViewId="0"/>
  </sheetViews>
  <sheetFormatPr defaultColWidth="8.7109375" defaultRowHeight="15"/>
  <cols>
    <col min="1" max="1" width="3" customWidth="1"/>
    <col min="2" max="2" width="100" customWidth="1"/>
  </cols>
  <sheetData>
    <row r="2" spans="2:2" ht="19.7">
      <c r="B2" s="1" t="s">
        <v>0</v>
      </c>
    </row>
    <row r="3" spans="2:2">
      <c r="B3" s="2" t="s">
        <v>1</v>
      </c>
    </row>
    <row r="5" spans="2:2">
      <c r="B5" s="3" t="s">
        <v>2</v>
      </c>
    </row>
    <row r="6" spans="2:2">
      <c r="B6" s="4" t="s">
        <v>3</v>
      </c>
    </row>
    <row r="7" spans="2:2">
      <c r="B7" s="4" t="s">
        <v>4</v>
      </c>
    </row>
    <row r="8" spans="2:2">
      <c r="B8" s="4" t="s">
        <v>5</v>
      </c>
    </row>
    <row r="9" spans="2:2">
      <c r="B9" s="4" t="s">
        <v>6</v>
      </c>
    </row>
    <row r="10" spans="2:2">
      <c r="B10" s="4" t="s">
        <v>7</v>
      </c>
    </row>
    <row r="11" spans="2:2">
      <c r="B11" s="4" t="s">
        <v>8</v>
      </c>
    </row>
    <row r="12" spans="2:2">
      <c r="B12" s="4" t="s">
        <v>9</v>
      </c>
    </row>
    <row r="13" spans="2:2">
      <c r="B13" s="4" t="s">
        <v>10</v>
      </c>
    </row>
    <row r="14" spans="2:2">
      <c r="B14" s="4"/>
    </row>
    <row r="15" spans="2:2">
      <c r="B15" s="3" t="s">
        <v>11</v>
      </c>
    </row>
    <row r="16" spans="2:2">
      <c r="B16" s="5" t="s">
        <v>12</v>
      </c>
    </row>
    <row r="17" spans="2:2">
      <c r="B17" s="6" t="s">
        <v>13</v>
      </c>
    </row>
    <row r="18" spans="2:2">
      <c r="B18" s="4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showGridLines="0" zoomScaleNormal="100" workbookViewId="0"/>
  </sheetViews>
  <sheetFormatPr defaultColWidth="8.7109375" defaultRowHeight="15"/>
  <cols>
    <col min="1" max="5" width="20" customWidth="1"/>
    <col min="7" max="7" width="14" customWidth="1"/>
    <col min="8" max="8" width="10" customWidth="1"/>
  </cols>
  <sheetData>
    <row r="1" spans="1:8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G1" s="3" t="s">
        <v>20</v>
      </c>
    </row>
    <row r="2" spans="1:8">
      <c r="A2" s="4" t="s">
        <v>21</v>
      </c>
      <c r="B2" s="4" t="s">
        <v>22</v>
      </c>
      <c r="C2" s="4" t="s">
        <v>23</v>
      </c>
      <c r="D2" s="4" t="s">
        <v>22</v>
      </c>
      <c r="E2" s="4" t="s">
        <v>22</v>
      </c>
      <c r="G2" s="4" t="s">
        <v>22</v>
      </c>
      <c r="H2" s="4">
        <v>3</v>
      </c>
    </row>
    <row r="3" spans="1:8">
      <c r="A3" s="4" t="s">
        <v>24</v>
      </c>
      <c r="B3" s="4" t="s">
        <v>25</v>
      </c>
      <c r="C3" s="4" t="s">
        <v>26</v>
      </c>
      <c r="D3" s="4" t="s">
        <v>25</v>
      </c>
      <c r="E3" s="4" t="s">
        <v>25</v>
      </c>
      <c r="G3" s="4" t="s">
        <v>25</v>
      </c>
      <c r="H3" s="4">
        <v>2</v>
      </c>
    </row>
    <row r="4" spans="1:8">
      <c r="A4" s="4" t="s">
        <v>27</v>
      </c>
      <c r="B4" s="4" t="s">
        <v>28</v>
      </c>
      <c r="C4" s="4" t="s">
        <v>29</v>
      </c>
      <c r="D4" s="4" t="s">
        <v>28</v>
      </c>
      <c r="E4" s="4" t="s">
        <v>28</v>
      </c>
      <c r="G4" s="4" t="s">
        <v>28</v>
      </c>
      <c r="H4" s="4">
        <v>1</v>
      </c>
    </row>
    <row r="5" spans="1:8">
      <c r="A5" s="4" t="s">
        <v>30</v>
      </c>
      <c r="C5" s="4" t="s">
        <v>31</v>
      </c>
    </row>
    <row r="6" spans="1:8">
      <c r="C6" s="4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8" customWidth="1"/>
    <col min="2" max="2" width="12" customWidth="1"/>
    <col min="3" max="3" width="32" customWidth="1"/>
    <col min="4" max="4" width="18" customWidth="1"/>
    <col min="5" max="5" width="10" customWidth="1"/>
    <col min="6" max="6" width="12" customWidth="1"/>
    <col min="7" max="7" width="11" customWidth="1"/>
    <col min="8" max="8" width="10" customWidth="1"/>
    <col min="9" max="10" width="14" customWidth="1"/>
    <col min="11" max="11" width="16" customWidth="1"/>
    <col min="12" max="12" width="12" customWidth="1"/>
    <col min="13" max="13" width="32" customWidth="1"/>
    <col min="14" max="14" width="16" customWidth="1"/>
    <col min="15" max="15" width="24" customWidth="1"/>
  </cols>
  <sheetData>
    <row r="1" spans="1:15" ht="19.7">
      <c r="A1" s="1" t="s">
        <v>33</v>
      </c>
    </row>
    <row r="2" spans="1:15">
      <c r="A2" s="2" t="s">
        <v>34</v>
      </c>
    </row>
    <row r="3" spans="1:15" ht="23.85">
      <c r="A3" s="8" t="s">
        <v>35</v>
      </c>
      <c r="B3" s="8" t="s">
        <v>15</v>
      </c>
      <c r="C3" s="8" t="s">
        <v>36</v>
      </c>
      <c r="D3" s="8" t="s">
        <v>37</v>
      </c>
      <c r="E3" s="8" t="s">
        <v>18</v>
      </c>
      <c r="F3" s="8" t="s">
        <v>19</v>
      </c>
      <c r="G3" s="8" t="s">
        <v>38</v>
      </c>
      <c r="H3" s="8" t="s">
        <v>16</v>
      </c>
      <c r="I3" s="8" t="s">
        <v>39</v>
      </c>
      <c r="J3" s="8" t="s">
        <v>40</v>
      </c>
      <c r="K3" s="8" t="s">
        <v>41</v>
      </c>
      <c r="L3" s="8" t="s">
        <v>17</v>
      </c>
      <c r="M3" s="8" t="s">
        <v>42</v>
      </c>
      <c r="N3" s="8" t="s">
        <v>43</v>
      </c>
      <c r="O3" s="8" t="s">
        <v>44</v>
      </c>
    </row>
    <row r="4" spans="1:15">
      <c r="A4" s="9" t="str">
        <f>IF(C4="","","R"&amp;TEXT(ROW()-3,"000"))</f>
        <v/>
      </c>
      <c r="B4" s="10"/>
      <c r="C4" s="11"/>
      <c r="D4" s="10"/>
      <c r="E4" s="10"/>
      <c r="F4" s="10"/>
      <c r="G4" s="9" t="str">
        <f>IF(OR(B4&lt;&gt;"Risk",E4="",F4=""),"",VLOOKUP(E4,Lists!$G$2:$H$4,2,FALSE())*VLOOKUP(F4,Lists!$G$2:$H$4,2,FALSE()))</f>
        <v/>
      </c>
      <c r="H4" s="10"/>
      <c r="I4" s="10"/>
      <c r="J4" s="12"/>
      <c r="K4" s="12"/>
      <c r="L4" s="10"/>
      <c r="M4" s="11"/>
      <c r="N4" s="10"/>
      <c r="O4" s="10"/>
    </row>
    <row r="5" spans="1:15">
      <c r="A5" s="9" t="str">
        <f>IF(C5="","","R"&amp;TEXT(ROW()-3,"000"))</f>
        <v/>
      </c>
      <c r="B5" s="10"/>
      <c r="C5" s="11"/>
      <c r="D5" s="10"/>
      <c r="E5" s="10"/>
      <c r="F5" s="10"/>
      <c r="G5" s="9" t="str">
        <f>IF(OR(B5&lt;&gt;"Risk",E5="",F5=""),"",VLOOKUP(E5,Lists!$G$2:$H$4,2,FALSE())*VLOOKUP(F5,Lists!$G$2:$H$4,2,FALSE()))</f>
        <v/>
      </c>
      <c r="H5" s="10"/>
      <c r="I5" s="10"/>
      <c r="J5" s="12"/>
      <c r="K5" s="12"/>
      <c r="L5" s="10"/>
      <c r="M5" s="11"/>
      <c r="N5" s="10"/>
      <c r="O5" s="10"/>
    </row>
    <row r="6" spans="1:15">
      <c r="A6" s="9" t="str">
        <f>IF(C6="","","R"&amp;TEXT(ROW()-3,"000"))</f>
        <v/>
      </c>
      <c r="B6" s="10"/>
      <c r="C6" s="11"/>
      <c r="D6" s="10"/>
      <c r="E6" s="10"/>
      <c r="F6" s="10"/>
      <c r="G6" s="9" t="str">
        <f>IF(OR(B6&lt;&gt;"Risk",E6="",F6=""),"",VLOOKUP(E6,Lists!$G$2:$H$4,2,FALSE())*VLOOKUP(F6,Lists!$G$2:$H$4,2,FALSE()))</f>
        <v/>
      </c>
      <c r="H6" s="10"/>
      <c r="I6" s="10"/>
      <c r="J6" s="12"/>
      <c r="K6" s="12"/>
      <c r="L6" s="10"/>
      <c r="M6" s="11"/>
      <c r="N6" s="10"/>
      <c r="O6" s="10"/>
    </row>
    <row r="7" spans="1:15">
      <c r="A7" s="9" t="str">
        <f>IF(C7="","","R"&amp;TEXT(ROW()-3,"000"))</f>
        <v/>
      </c>
      <c r="B7" s="10"/>
      <c r="C7" s="11"/>
      <c r="D7" s="10"/>
      <c r="E7" s="10"/>
      <c r="F7" s="10"/>
      <c r="G7" s="9" t="str">
        <f>IF(OR(B7&lt;&gt;"Risk",E7="",F7=""),"",VLOOKUP(E7,Lists!$G$2:$H$4,2,FALSE())*VLOOKUP(F7,Lists!$G$2:$H$4,2,FALSE()))</f>
        <v/>
      </c>
      <c r="H7" s="10"/>
      <c r="I7" s="10"/>
      <c r="J7" s="12"/>
      <c r="K7" s="12"/>
      <c r="L7" s="10"/>
      <c r="M7" s="11"/>
      <c r="N7" s="10"/>
      <c r="O7" s="10"/>
    </row>
    <row r="8" spans="1:15">
      <c r="A8" s="9" t="str">
        <f>IF(C8="","","R"&amp;TEXT(ROW()-3,"000"))</f>
        <v/>
      </c>
      <c r="B8" s="10"/>
      <c r="C8" s="11"/>
      <c r="D8" s="10"/>
      <c r="E8" s="10"/>
      <c r="F8" s="10"/>
      <c r="G8" s="9" t="str">
        <f>IF(OR(B8&lt;&gt;"Risk",E8="",F8=""),"",VLOOKUP(E8,Lists!$G$2:$H$4,2,FALSE())*VLOOKUP(F8,Lists!$G$2:$H$4,2,FALSE()))</f>
        <v/>
      </c>
      <c r="H8" s="10"/>
      <c r="I8" s="10"/>
      <c r="J8" s="12"/>
      <c r="K8" s="12"/>
      <c r="L8" s="10"/>
      <c r="M8" s="11"/>
      <c r="N8" s="10"/>
      <c r="O8" s="10"/>
    </row>
    <row r="9" spans="1:15">
      <c r="A9" s="9" t="str">
        <f>IF(C9="","","R"&amp;TEXT(ROW()-3,"000"))</f>
        <v/>
      </c>
      <c r="B9" s="10"/>
      <c r="C9" s="11"/>
      <c r="D9" s="10"/>
      <c r="E9" s="10"/>
      <c r="F9" s="10"/>
      <c r="G9" s="9" t="str">
        <f>IF(OR(B9&lt;&gt;"Risk",E9="",F9=""),"",VLOOKUP(E9,Lists!$G$2:$H$4,2,FALSE())*VLOOKUP(F9,Lists!$G$2:$H$4,2,FALSE()))</f>
        <v/>
      </c>
      <c r="H9" s="10"/>
      <c r="I9" s="10"/>
      <c r="J9" s="12"/>
      <c r="K9" s="12"/>
      <c r="L9" s="10"/>
      <c r="M9" s="11"/>
      <c r="N9" s="10"/>
      <c r="O9" s="10"/>
    </row>
    <row r="10" spans="1:15">
      <c r="A10" s="9" t="str">
        <f>IF(C10="","","R"&amp;TEXT(ROW()-3,"000"))</f>
        <v/>
      </c>
      <c r="B10" s="10"/>
      <c r="C10" s="11"/>
      <c r="D10" s="10"/>
      <c r="E10" s="10"/>
      <c r="F10" s="10"/>
      <c r="G10" s="9" t="str">
        <f>IF(OR(B10&lt;&gt;"Risk",E10="",F10=""),"",VLOOKUP(E10,Lists!$G$2:$H$4,2,FALSE())*VLOOKUP(F10,Lists!$G$2:$H$4,2,FALSE()))</f>
        <v/>
      </c>
      <c r="H10" s="10"/>
      <c r="I10" s="10"/>
      <c r="J10" s="12"/>
      <c r="K10" s="12"/>
      <c r="L10" s="10"/>
      <c r="M10" s="11"/>
      <c r="N10" s="10"/>
      <c r="O10" s="10"/>
    </row>
    <row r="11" spans="1:15">
      <c r="A11" s="9" t="str">
        <f>IF(C11="","","R"&amp;TEXT(ROW()-3,"000"))</f>
        <v/>
      </c>
      <c r="B11" s="10"/>
      <c r="C11" s="11"/>
      <c r="D11" s="10"/>
      <c r="E11" s="10"/>
      <c r="F11" s="10"/>
      <c r="G11" s="9" t="str">
        <f>IF(OR(B11&lt;&gt;"Risk",E11="",F11=""),"",VLOOKUP(E11,Lists!$G$2:$H$4,2,FALSE())*VLOOKUP(F11,Lists!$G$2:$H$4,2,FALSE()))</f>
        <v/>
      </c>
      <c r="H11" s="10"/>
      <c r="I11" s="10"/>
      <c r="J11" s="12"/>
      <c r="K11" s="12"/>
      <c r="L11" s="10"/>
      <c r="M11" s="11"/>
      <c r="N11" s="10"/>
      <c r="O11" s="10"/>
    </row>
    <row r="12" spans="1:15">
      <c r="A12" s="9" t="str">
        <f>IF(C12="","","R"&amp;TEXT(ROW()-3,"000"))</f>
        <v/>
      </c>
      <c r="B12" s="10"/>
      <c r="C12" s="11"/>
      <c r="D12" s="10"/>
      <c r="E12" s="10"/>
      <c r="F12" s="10"/>
      <c r="G12" s="9" t="str">
        <f>IF(OR(B12&lt;&gt;"Risk",E12="",F12=""),"",VLOOKUP(E12,Lists!$G$2:$H$4,2,FALSE())*VLOOKUP(F12,Lists!$G$2:$H$4,2,FALSE()))</f>
        <v/>
      </c>
      <c r="H12" s="10"/>
      <c r="I12" s="10"/>
      <c r="J12" s="12"/>
      <c r="K12" s="12"/>
      <c r="L12" s="10"/>
      <c r="M12" s="11"/>
      <c r="N12" s="10"/>
      <c r="O12" s="10"/>
    </row>
    <row r="13" spans="1:15">
      <c r="A13" s="9" t="str">
        <f>IF(C13="","","R"&amp;TEXT(ROW()-3,"000"))</f>
        <v/>
      </c>
      <c r="B13" s="10"/>
      <c r="C13" s="11"/>
      <c r="D13" s="10"/>
      <c r="E13" s="10"/>
      <c r="F13" s="10"/>
      <c r="G13" s="9" t="str">
        <f>IF(OR(B13&lt;&gt;"Risk",E13="",F13=""),"",VLOOKUP(E13,Lists!$G$2:$H$4,2,FALSE())*VLOOKUP(F13,Lists!$G$2:$H$4,2,FALSE()))</f>
        <v/>
      </c>
      <c r="H13" s="10"/>
      <c r="I13" s="10"/>
      <c r="J13" s="12"/>
      <c r="K13" s="12"/>
      <c r="L13" s="10"/>
      <c r="M13" s="11"/>
      <c r="N13" s="10"/>
      <c r="O13" s="10"/>
    </row>
    <row r="14" spans="1:15">
      <c r="A14" s="9" t="str">
        <f>IF(C14="","","R"&amp;TEXT(ROW()-3,"000"))</f>
        <v/>
      </c>
      <c r="B14" s="10"/>
      <c r="C14" s="11"/>
      <c r="D14" s="10"/>
      <c r="E14" s="10"/>
      <c r="F14" s="10"/>
      <c r="G14" s="9" t="str">
        <f>IF(OR(B14&lt;&gt;"Risk",E14="",F14=""),"",VLOOKUP(E14,Lists!$G$2:$H$4,2,FALSE())*VLOOKUP(F14,Lists!$G$2:$H$4,2,FALSE()))</f>
        <v/>
      </c>
      <c r="H14" s="10"/>
      <c r="I14" s="10"/>
      <c r="J14" s="12"/>
      <c r="K14" s="12"/>
      <c r="L14" s="10"/>
      <c r="M14" s="11"/>
      <c r="N14" s="10"/>
      <c r="O14" s="10"/>
    </row>
    <row r="15" spans="1:15">
      <c r="A15" s="9" t="str">
        <f>IF(C15="","","R"&amp;TEXT(ROW()-3,"000"))</f>
        <v/>
      </c>
      <c r="B15" s="10"/>
      <c r="C15" s="11"/>
      <c r="D15" s="10"/>
      <c r="E15" s="10"/>
      <c r="F15" s="10"/>
      <c r="G15" s="9" t="str">
        <f>IF(OR(B15&lt;&gt;"Risk",E15="",F15=""),"",VLOOKUP(E15,Lists!$G$2:$H$4,2,FALSE())*VLOOKUP(F15,Lists!$G$2:$H$4,2,FALSE()))</f>
        <v/>
      </c>
      <c r="H15" s="10"/>
      <c r="I15" s="10"/>
      <c r="J15" s="12"/>
      <c r="K15" s="12"/>
      <c r="L15" s="10"/>
      <c r="M15" s="11"/>
      <c r="N15" s="10"/>
      <c r="O15" s="10"/>
    </row>
    <row r="16" spans="1:15">
      <c r="A16" s="9" t="str">
        <f>IF(C16="","","R"&amp;TEXT(ROW()-3,"000"))</f>
        <v/>
      </c>
      <c r="B16" s="10"/>
      <c r="C16" s="11"/>
      <c r="D16" s="10"/>
      <c r="E16" s="10"/>
      <c r="F16" s="10"/>
      <c r="G16" s="9" t="str">
        <f>IF(OR(B16&lt;&gt;"Risk",E16="",F16=""),"",VLOOKUP(E16,Lists!$G$2:$H$4,2,FALSE())*VLOOKUP(F16,Lists!$G$2:$H$4,2,FALSE()))</f>
        <v/>
      </c>
      <c r="H16" s="10"/>
      <c r="I16" s="10"/>
      <c r="J16" s="12"/>
      <c r="K16" s="12"/>
      <c r="L16" s="10"/>
      <c r="M16" s="11"/>
      <c r="N16" s="10"/>
      <c r="O16" s="10"/>
    </row>
    <row r="17" spans="1:15">
      <c r="A17" s="9" t="str">
        <f>IF(C17="","","R"&amp;TEXT(ROW()-3,"000"))</f>
        <v/>
      </c>
      <c r="B17" s="10"/>
      <c r="C17" s="11"/>
      <c r="D17" s="10"/>
      <c r="E17" s="10"/>
      <c r="F17" s="10"/>
      <c r="G17" s="9" t="str">
        <f>IF(OR(B17&lt;&gt;"Risk",E17="",F17=""),"",VLOOKUP(E17,Lists!$G$2:$H$4,2,FALSE())*VLOOKUP(F17,Lists!$G$2:$H$4,2,FALSE()))</f>
        <v/>
      </c>
      <c r="H17" s="10"/>
      <c r="I17" s="10"/>
      <c r="J17" s="12"/>
      <c r="K17" s="12"/>
      <c r="L17" s="10"/>
      <c r="M17" s="11"/>
      <c r="N17" s="10"/>
      <c r="O17" s="10"/>
    </row>
    <row r="18" spans="1:15">
      <c r="A18" s="9" t="str">
        <f>IF(C18="","","R"&amp;TEXT(ROW()-3,"000"))</f>
        <v/>
      </c>
      <c r="B18" s="10"/>
      <c r="C18" s="11"/>
      <c r="D18" s="10"/>
      <c r="E18" s="10"/>
      <c r="F18" s="10"/>
      <c r="G18" s="9" t="str">
        <f>IF(OR(B18&lt;&gt;"Risk",E18="",F18=""),"",VLOOKUP(E18,Lists!$G$2:$H$4,2,FALSE())*VLOOKUP(F18,Lists!$G$2:$H$4,2,FALSE()))</f>
        <v/>
      </c>
      <c r="H18" s="10"/>
      <c r="I18" s="10"/>
      <c r="J18" s="12"/>
      <c r="K18" s="12"/>
      <c r="L18" s="10"/>
      <c r="M18" s="11"/>
      <c r="N18" s="10"/>
      <c r="O18" s="10"/>
    </row>
    <row r="19" spans="1:15">
      <c r="A19" s="9" t="str">
        <f>IF(C19="","","R"&amp;TEXT(ROW()-3,"000"))</f>
        <v/>
      </c>
      <c r="B19" s="10"/>
      <c r="C19" s="11"/>
      <c r="D19" s="10"/>
      <c r="E19" s="10"/>
      <c r="F19" s="10"/>
      <c r="G19" s="9" t="str">
        <f>IF(OR(B19&lt;&gt;"Risk",E19="",F19=""),"",VLOOKUP(E19,Lists!$G$2:$H$4,2,FALSE())*VLOOKUP(F19,Lists!$G$2:$H$4,2,FALSE()))</f>
        <v/>
      </c>
      <c r="H19" s="10"/>
      <c r="I19" s="10"/>
      <c r="J19" s="12"/>
      <c r="K19" s="12"/>
      <c r="L19" s="10"/>
      <c r="M19" s="11"/>
      <c r="N19" s="10"/>
      <c r="O19" s="10"/>
    </row>
    <row r="20" spans="1:15">
      <c r="A20" s="9" t="str">
        <f>IF(C20="","","R"&amp;TEXT(ROW()-3,"000"))</f>
        <v/>
      </c>
      <c r="B20" s="10"/>
      <c r="C20" s="11"/>
      <c r="D20" s="10"/>
      <c r="E20" s="10"/>
      <c r="F20" s="10"/>
      <c r="G20" s="9" t="str">
        <f>IF(OR(B20&lt;&gt;"Risk",E20="",F20=""),"",VLOOKUP(E20,Lists!$G$2:$H$4,2,FALSE())*VLOOKUP(F20,Lists!$G$2:$H$4,2,FALSE()))</f>
        <v/>
      </c>
      <c r="H20" s="10"/>
      <c r="I20" s="10"/>
      <c r="J20" s="12"/>
      <c r="K20" s="12"/>
      <c r="L20" s="10"/>
      <c r="M20" s="11"/>
      <c r="N20" s="10"/>
      <c r="O20" s="10"/>
    </row>
    <row r="21" spans="1:15">
      <c r="A21" s="9" t="str">
        <f>IF(C21="","","R"&amp;TEXT(ROW()-3,"000"))</f>
        <v/>
      </c>
      <c r="B21" s="10"/>
      <c r="C21" s="11"/>
      <c r="D21" s="10"/>
      <c r="E21" s="10"/>
      <c r="F21" s="10"/>
      <c r="G21" s="9" t="str">
        <f>IF(OR(B21&lt;&gt;"Risk",E21="",F21=""),"",VLOOKUP(E21,Lists!$G$2:$H$4,2,FALSE())*VLOOKUP(F21,Lists!$G$2:$H$4,2,FALSE()))</f>
        <v/>
      </c>
      <c r="H21" s="10"/>
      <c r="I21" s="10"/>
      <c r="J21" s="12"/>
      <c r="K21" s="12"/>
      <c r="L21" s="10"/>
      <c r="M21" s="11"/>
      <c r="N21" s="10"/>
      <c r="O21" s="10"/>
    </row>
    <row r="22" spans="1:15">
      <c r="A22" s="9" t="str">
        <f>IF(C22="","","R"&amp;TEXT(ROW()-3,"000"))</f>
        <v/>
      </c>
      <c r="B22" s="10"/>
      <c r="C22" s="11"/>
      <c r="D22" s="10"/>
      <c r="E22" s="10"/>
      <c r="F22" s="10"/>
      <c r="G22" s="9" t="str">
        <f>IF(OR(B22&lt;&gt;"Risk",E22="",F22=""),"",VLOOKUP(E22,Lists!$G$2:$H$4,2,FALSE())*VLOOKUP(F22,Lists!$G$2:$H$4,2,FALSE()))</f>
        <v/>
      </c>
      <c r="H22" s="10"/>
      <c r="I22" s="10"/>
      <c r="J22" s="12"/>
      <c r="K22" s="12"/>
      <c r="L22" s="10"/>
      <c r="M22" s="11"/>
      <c r="N22" s="10"/>
      <c r="O22" s="10"/>
    </row>
    <row r="23" spans="1:15">
      <c r="A23" s="9" t="str">
        <f>IF(C23="","","R"&amp;TEXT(ROW()-3,"000"))</f>
        <v/>
      </c>
      <c r="B23" s="10"/>
      <c r="C23" s="11"/>
      <c r="D23" s="10"/>
      <c r="E23" s="10"/>
      <c r="F23" s="10"/>
      <c r="G23" s="9" t="str">
        <f>IF(OR(B23&lt;&gt;"Risk",E23="",F23=""),"",VLOOKUP(E23,Lists!$G$2:$H$4,2,FALSE())*VLOOKUP(F23,Lists!$G$2:$H$4,2,FALSE()))</f>
        <v/>
      </c>
      <c r="H23" s="10"/>
      <c r="I23" s="10"/>
      <c r="J23" s="12"/>
      <c r="K23" s="12"/>
      <c r="L23" s="10"/>
      <c r="M23" s="11"/>
      <c r="N23" s="10"/>
      <c r="O23" s="10"/>
    </row>
    <row r="24" spans="1:15">
      <c r="A24" s="9" t="str">
        <f>IF(C24="","","R"&amp;TEXT(ROW()-3,"000"))</f>
        <v/>
      </c>
      <c r="B24" s="10"/>
      <c r="C24" s="11"/>
      <c r="D24" s="10"/>
      <c r="E24" s="10"/>
      <c r="F24" s="10"/>
      <c r="G24" s="9" t="str">
        <f>IF(OR(B24&lt;&gt;"Risk",E24="",F24=""),"",VLOOKUP(E24,Lists!$G$2:$H$4,2,FALSE())*VLOOKUP(F24,Lists!$G$2:$H$4,2,FALSE()))</f>
        <v/>
      </c>
      <c r="H24" s="10"/>
      <c r="I24" s="10"/>
      <c r="J24" s="12"/>
      <c r="K24" s="12"/>
      <c r="L24" s="10"/>
      <c r="M24" s="11"/>
      <c r="N24" s="10"/>
      <c r="O24" s="10"/>
    </row>
    <row r="25" spans="1:15">
      <c r="A25" s="9" t="str">
        <f>IF(C25="","","R"&amp;TEXT(ROW()-3,"000"))</f>
        <v/>
      </c>
      <c r="B25" s="10"/>
      <c r="C25" s="11"/>
      <c r="D25" s="10"/>
      <c r="E25" s="10"/>
      <c r="F25" s="10"/>
      <c r="G25" s="9" t="str">
        <f>IF(OR(B25&lt;&gt;"Risk",E25="",F25=""),"",VLOOKUP(E25,Lists!$G$2:$H$4,2,FALSE())*VLOOKUP(F25,Lists!$G$2:$H$4,2,FALSE()))</f>
        <v/>
      </c>
      <c r="H25" s="10"/>
      <c r="I25" s="10"/>
      <c r="J25" s="12"/>
      <c r="K25" s="12"/>
      <c r="L25" s="10"/>
      <c r="M25" s="11"/>
      <c r="N25" s="10"/>
      <c r="O25" s="10"/>
    </row>
    <row r="26" spans="1:15">
      <c r="A26" s="9" t="str">
        <f>IF(C26="","","R"&amp;TEXT(ROW()-3,"000"))</f>
        <v/>
      </c>
      <c r="B26" s="10"/>
      <c r="C26" s="11"/>
      <c r="D26" s="10"/>
      <c r="E26" s="10"/>
      <c r="F26" s="10"/>
      <c r="G26" s="9" t="str">
        <f>IF(OR(B26&lt;&gt;"Risk",E26="",F26=""),"",VLOOKUP(E26,Lists!$G$2:$H$4,2,FALSE())*VLOOKUP(F26,Lists!$G$2:$H$4,2,FALSE()))</f>
        <v/>
      </c>
      <c r="H26" s="10"/>
      <c r="I26" s="10"/>
      <c r="J26" s="12"/>
      <c r="K26" s="12"/>
      <c r="L26" s="10"/>
      <c r="M26" s="11"/>
      <c r="N26" s="10"/>
      <c r="O26" s="10"/>
    </row>
    <row r="27" spans="1:15">
      <c r="A27" s="9" t="str">
        <f>IF(C27="","","R"&amp;TEXT(ROW()-3,"000"))</f>
        <v/>
      </c>
      <c r="B27" s="10"/>
      <c r="C27" s="11"/>
      <c r="D27" s="10"/>
      <c r="E27" s="10"/>
      <c r="F27" s="10"/>
      <c r="G27" s="9" t="str">
        <f>IF(OR(B27&lt;&gt;"Risk",E27="",F27=""),"",VLOOKUP(E27,Lists!$G$2:$H$4,2,FALSE())*VLOOKUP(F27,Lists!$G$2:$H$4,2,FALSE()))</f>
        <v/>
      </c>
      <c r="H27" s="10"/>
      <c r="I27" s="10"/>
      <c r="J27" s="12"/>
      <c r="K27" s="12"/>
      <c r="L27" s="10"/>
      <c r="M27" s="11"/>
      <c r="N27" s="10"/>
      <c r="O27" s="10"/>
    </row>
    <row r="28" spans="1:15">
      <c r="A28" s="9" t="str">
        <f>IF(C28="","","R"&amp;TEXT(ROW()-3,"000"))</f>
        <v/>
      </c>
      <c r="B28" s="10"/>
      <c r="C28" s="11"/>
      <c r="D28" s="10"/>
      <c r="E28" s="10"/>
      <c r="F28" s="10"/>
      <c r="G28" s="9" t="str">
        <f>IF(OR(B28&lt;&gt;"Risk",E28="",F28=""),"",VLOOKUP(E28,Lists!$G$2:$H$4,2,FALSE())*VLOOKUP(F28,Lists!$G$2:$H$4,2,FALSE()))</f>
        <v/>
      </c>
      <c r="H28" s="10"/>
      <c r="I28" s="10"/>
      <c r="J28" s="12"/>
      <c r="K28" s="12"/>
      <c r="L28" s="10"/>
      <c r="M28" s="11"/>
      <c r="N28" s="10"/>
      <c r="O28" s="10"/>
    </row>
    <row r="29" spans="1:15">
      <c r="A29" s="9" t="str">
        <f>IF(C29="","","R"&amp;TEXT(ROW()-3,"000"))</f>
        <v/>
      </c>
      <c r="B29" s="10"/>
      <c r="C29" s="11"/>
      <c r="D29" s="10"/>
      <c r="E29" s="10"/>
      <c r="F29" s="10"/>
      <c r="G29" s="9" t="str">
        <f>IF(OR(B29&lt;&gt;"Risk",E29="",F29=""),"",VLOOKUP(E29,Lists!$G$2:$H$4,2,FALSE())*VLOOKUP(F29,Lists!$G$2:$H$4,2,FALSE()))</f>
        <v/>
      </c>
      <c r="H29" s="10"/>
      <c r="I29" s="10"/>
      <c r="J29" s="12"/>
      <c r="K29" s="12"/>
      <c r="L29" s="10"/>
      <c r="M29" s="11"/>
      <c r="N29" s="10"/>
      <c r="O29" s="10"/>
    </row>
    <row r="30" spans="1:15">
      <c r="A30" s="9" t="str">
        <f>IF(C30="","","R"&amp;TEXT(ROW()-3,"000"))</f>
        <v/>
      </c>
      <c r="B30" s="10"/>
      <c r="C30" s="11"/>
      <c r="D30" s="10"/>
      <c r="E30" s="10"/>
      <c r="F30" s="10"/>
      <c r="G30" s="9" t="str">
        <f>IF(OR(B30&lt;&gt;"Risk",E30="",F30=""),"",VLOOKUP(E30,Lists!$G$2:$H$4,2,FALSE())*VLOOKUP(F30,Lists!$G$2:$H$4,2,FALSE()))</f>
        <v/>
      </c>
      <c r="H30" s="10"/>
      <c r="I30" s="10"/>
      <c r="J30" s="12"/>
      <c r="K30" s="12"/>
      <c r="L30" s="10"/>
      <c r="M30" s="11"/>
      <c r="N30" s="10"/>
      <c r="O30" s="10"/>
    </row>
    <row r="31" spans="1:15">
      <c r="A31" s="9" t="str">
        <f>IF(C31="","","R"&amp;TEXT(ROW()-3,"000"))</f>
        <v/>
      </c>
      <c r="B31" s="10"/>
      <c r="C31" s="11"/>
      <c r="D31" s="10"/>
      <c r="E31" s="10"/>
      <c r="F31" s="10"/>
      <c r="G31" s="9" t="str">
        <f>IF(OR(B31&lt;&gt;"Risk",E31="",F31=""),"",VLOOKUP(E31,Lists!$G$2:$H$4,2,FALSE())*VLOOKUP(F31,Lists!$G$2:$H$4,2,FALSE()))</f>
        <v/>
      </c>
      <c r="H31" s="10"/>
      <c r="I31" s="10"/>
      <c r="J31" s="12"/>
      <c r="K31" s="12"/>
      <c r="L31" s="10"/>
      <c r="M31" s="11"/>
      <c r="N31" s="10"/>
      <c r="O31" s="10"/>
    </row>
    <row r="32" spans="1:15">
      <c r="A32" s="9" t="str">
        <f>IF(C32="","","R"&amp;TEXT(ROW()-3,"000"))</f>
        <v/>
      </c>
      <c r="B32" s="10"/>
      <c r="C32" s="11"/>
      <c r="D32" s="10"/>
      <c r="E32" s="10"/>
      <c r="F32" s="10"/>
      <c r="G32" s="9" t="str">
        <f>IF(OR(B32&lt;&gt;"Risk",E32="",F32=""),"",VLOOKUP(E32,Lists!$G$2:$H$4,2,FALSE())*VLOOKUP(F32,Lists!$G$2:$H$4,2,FALSE()))</f>
        <v/>
      </c>
      <c r="H32" s="10"/>
      <c r="I32" s="10"/>
      <c r="J32" s="12"/>
      <c r="K32" s="12"/>
      <c r="L32" s="10"/>
      <c r="M32" s="11"/>
      <c r="N32" s="10"/>
      <c r="O32" s="10"/>
    </row>
    <row r="33" spans="1:15">
      <c r="A33" s="9" t="str">
        <f>IF(C33="","","R"&amp;TEXT(ROW()-3,"000"))</f>
        <v/>
      </c>
      <c r="B33" s="10"/>
      <c r="C33" s="11"/>
      <c r="D33" s="10"/>
      <c r="E33" s="10"/>
      <c r="F33" s="10"/>
      <c r="G33" s="9" t="str">
        <f>IF(OR(B33&lt;&gt;"Risk",E33="",F33=""),"",VLOOKUP(E33,Lists!$G$2:$H$4,2,FALSE())*VLOOKUP(F33,Lists!$G$2:$H$4,2,FALSE()))</f>
        <v/>
      </c>
      <c r="H33" s="10"/>
      <c r="I33" s="10"/>
      <c r="J33" s="12"/>
      <c r="K33" s="12"/>
      <c r="L33" s="10"/>
      <c r="M33" s="11"/>
      <c r="N33" s="10"/>
      <c r="O33" s="10"/>
    </row>
    <row r="34" spans="1:15">
      <c r="A34" s="9" t="str">
        <f>IF(C34="","","R"&amp;TEXT(ROW()-3,"000"))</f>
        <v/>
      </c>
      <c r="B34" s="10"/>
      <c r="C34" s="11"/>
      <c r="D34" s="10"/>
      <c r="E34" s="10"/>
      <c r="F34" s="10"/>
      <c r="G34" s="9" t="str">
        <f>IF(OR(B34&lt;&gt;"Risk",E34="",F34=""),"",VLOOKUP(E34,Lists!$G$2:$H$4,2,FALSE())*VLOOKUP(F34,Lists!$G$2:$H$4,2,FALSE()))</f>
        <v/>
      </c>
      <c r="H34" s="10"/>
      <c r="I34" s="10"/>
      <c r="J34" s="12"/>
      <c r="K34" s="12"/>
      <c r="L34" s="10"/>
      <c r="M34" s="11"/>
      <c r="N34" s="10"/>
      <c r="O34" s="10"/>
    </row>
    <row r="35" spans="1:15">
      <c r="A35" s="9" t="str">
        <f>IF(C35="","","R"&amp;TEXT(ROW()-3,"000"))</f>
        <v/>
      </c>
      <c r="B35" s="10"/>
      <c r="C35" s="11"/>
      <c r="D35" s="10"/>
      <c r="E35" s="10"/>
      <c r="F35" s="10"/>
      <c r="G35" s="9" t="str">
        <f>IF(OR(B35&lt;&gt;"Risk",E35="",F35=""),"",VLOOKUP(E35,Lists!$G$2:$H$4,2,FALSE())*VLOOKUP(F35,Lists!$G$2:$H$4,2,FALSE()))</f>
        <v/>
      </c>
      <c r="H35" s="10"/>
      <c r="I35" s="10"/>
      <c r="J35" s="12"/>
      <c r="K35" s="12"/>
      <c r="L35" s="10"/>
      <c r="M35" s="11"/>
      <c r="N35" s="10"/>
      <c r="O35" s="10"/>
    </row>
    <row r="36" spans="1:15">
      <c r="A36" s="9" t="str">
        <f>IF(C36="","","R"&amp;TEXT(ROW()-3,"000"))</f>
        <v/>
      </c>
      <c r="B36" s="10"/>
      <c r="C36" s="11"/>
      <c r="D36" s="10"/>
      <c r="E36" s="10"/>
      <c r="F36" s="10"/>
      <c r="G36" s="9" t="str">
        <f>IF(OR(B36&lt;&gt;"Risk",E36="",F36=""),"",VLOOKUP(E36,Lists!$G$2:$H$4,2,FALSE())*VLOOKUP(F36,Lists!$G$2:$H$4,2,FALSE()))</f>
        <v/>
      </c>
      <c r="H36" s="10"/>
      <c r="I36" s="10"/>
      <c r="J36" s="12"/>
      <c r="K36" s="12"/>
      <c r="L36" s="10"/>
      <c r="M36" s="11"/>
      <c r="N36" s="10"/>
      <c r="O36" s="10"/>
    </row>
    <row r="37" spans="1:15">
      <c r="A37" s="9" t="str">
        <f>IF(C37="","","R"&amp;TEXT(ROW()-3,"000"))</f>
        <v/>
      </c>
      <c r="B37" s="10"/>
      <c r="C37" s="11"/>
      <c r="D37" s="10"/>
      <c r="E37" s="10"/>
      <c r="F37" s="10"/>
      <c r="G37" s="9" t="str">
        <f>IF(OR(B37&lt;&gt;"Risk",E37="",F37=""),"",VLOOKUP(E37,Lists!$G$2:$H$4,2,FALSE())*VLOOKUP(F37,Lists!$G$2:$H$4,2,FALSE()))</f>
        <v/>
      </c>
      <c r="H37" s="10"/>
      <c r="I37" s="10"/>
      <c r="J37" s="12"/>
      <c r="K37" s="12"/>
      <c r="L37" s="10"/>
      <c r="M37" s="11"/>
      <c r="N37" s="10"/>
      <c r="O37" s="10"/>
    </row>
    <row r="38" spans="1:15">
      <c r="A38" s="9" t="str">
        <f>IF(C38="","","R"&amp;TEXT(ROW()-3,"000"))</f>
        <v/>
      </c>
      <c r="B38" s="10"/>
      <c r="C38" s="11"/>
      <c r="D38" s="10"/>
      <c r="E38" s="10"/>
      <c r="F38" s="10"/>
      <c r="G38" s="9" t="str">
        <f>IF(OR(B38&lt;&gt;"Risk",E38="",F38=""),"",VLOOKUP(E38,Lists!$G$2:$H$4,2,FALSE())*VLOOKUP(F38,Lists!$G$2:$H$4,2,FALSE()))</f>
        <v/>
      </c>
      <c r="H38" s="10"/>
      <c r="I38" s="10"/>
      <c r="J38" s="12"/>
      <c r="K38" s="12"/>
      <c r="L38" s="10"/>
      <c r="M38" s="11"/>
      <c r="N38" s="10"/>
      <c r="O38" s="10"/>
    </row>
    <row r="39" spans="1:15">
      <c r="A39" s="9" t="str">
        <f>IF(C39="","","R"&amp;TEXT(ROW()-3,"000"))</f>
        <v/>
      </c>
      <c r="B39" s="10"/>
      <c r="C39" s="11"/>
      <c r="D39" s="10"/>
      <c r="E39" s="10"/>
      <c r="F39" s="10"/>
      <c r="G39" s="9" t="str">
        <f>IF(OR(B39&lt;&gt;"Risk",E39="",F39=""),"",VLOOKUP(E39,Lists!$G$2:$H$4,2,FALSE())*VLOOKUP(F39,Lists!$G$2:$H$4,2,FALSE()))</f>
        <v/>
      </c>
      <c r="H39" s="10"/>
      <c r="I39" s="10"/>
      <c r="J39" s="12"/>
      <c r="K39" s="12"/>
      <c r="L39" s="10"/>
      <c r="M39" s="11"/>
      <c r="N39" s="10"/>
      <c r="O39" s="10"/>
    </row>
    <row r="40" spans="1:15">
      <c r="A40" s="9" t="str">
        <f>IF(C40="","","R"&amp;TEXT(ROW()-3,"000"))</f>
        <v/>
      </c>
      <c r="B40" s="10"/>
      <c r="C40" s="11"/>
      <c r="D40" s="10"/>
      <c r="E40" s="10"/>
      <c r="F40" s="10"/>
      <c r="G40" s="9" t="str">
        <f>IF(OR(B40&lt;&gt;"Risk",E40="",F40=""),"",VLOOKUP(E40,Lists!$G$2:$H$4,2,FALSE())*VLOOKUP(F40,Lists!$G$2:$H$4,2,FALSE()))</f>
        <v/>
      </c>
      <c r="H40" s="10"/>
      <c r="I40" s="10"/>
      <c r="J40" s="12"/>
      <c r="K40" s="12"/>
      <c r="L40" s="10"/>
      <c r="M40" s="11"/>
      <c r="N40" s="10"/>
      <c r="O40" s="10"/>
    </row>
    <row r="41" spans="1:15">
      <c r="A41" s="9" t="str">
        <f>IF(C41="","","R"&amp;TEXT(ROW()-3,"000"))</f>
        <v/>
      </c>
      <c r="B41" s="10"/>
      <c r="C41" s="11"/>
      <c r="D41" s="10"/>
      <c r="E41" s="10"/>
      <c r="F41" s="10"/>
      <c r="G41" s="9" t="str">
        <f>IF(OR(B41&lt;&gt;"Risk",E41="",F41=""),"",VLOOKUP(E41,Lists!$G$2:$H$4,2,FALSE())*VLOOKUP(F41,Lists!$G$2:$H$4,2,FALSE()))</f>
        <v/>
      </c>
      <c r="H41" s="10"/>
      <c r="I41" s="10"/>
      <c r="J41" s="12"/>
      <c r="K41" s="12"/>
      <c r="L41" s="10"/>
      <c r="M41" s="11"/>
      <c r="N41" s="10"/>
      <c r="O41" s="10"/>
    </row>
    <row r="42" spans="1:15">
      <c r="A42" s="9" t="str">
        <f>IF(C42="","","R"&amp;TEXT(ROW()-3,"000"))</f>
        <v/>
      </c>
      <c r="B42" s="10"/>
      <c r="C42" s="11"/>
      <c r="D42" s="10"/>
      <c r="E42" s="10"/>
      <c r="F42" s="10"/>
      <c r="G42" s="9" t="str">
        <f>IF(OR(B42&lt;&gt;"Risk",E42="",F42=""),"",VLOOKUP(E42,Lists!$G$2:$H$4,2,FALSE())*VLOOKUP(F42,Lists!$G$2:$H$4,2,FALSE()))</f>
        <v/>
      </c>
      <c r="H42" s="10"/>
      <c r="I42" s="10"/>
      <c r="J42" s="12"/>
      <c r="K42" s="12"/>
      <c r="L42" s="10"/>
      <c r="M42" s="11"/>
      <c r="N42" s="10"/>
      <c r="O42" s="10"/>
    </row>
    <row r="43" spans="1:15">
      <c r="A43" s="9" t="str">
        <f>IF(C43="","","R"&amp;TEXT(ROW()-3,"000"))</f>
        <v/>
      </c>
      <c r="B43" s="10"/>
      <c r="C43" s="11"/>
      <c r="D43" s="10"/>
      <c r="E43" s="10"/>
      <c r="F43" s="10"/>
      <c r="G43" s="9" t="str">
        <f>IF(OR(B43&lt;&gt;"Risk",E43="",F43=""),"",VLOOKUP(E43,Lists!$G$2:$H$4,2,FALSE())*VLOOKUP(F43,Lists!$G$2:$H$4,2,FALSE()))</f>
        <v/>
      </c>
      <c r="H43" s="10"/>
      <c r="I43" s="10"/>
      <c r="J43" s="12"/>
      <c r="K43" s="12"/>
      <c r="L43" s="10"/>
      <c r="M43" s="11"/>
      <c r="N43" s="10"/>
      <c r="O43" s="10"/>
    </row>
  </sheetData>
  <conditionalFormatting sqref="A4:O43">
    <cfRule type="expression" dxfId="6" priority="2">
      <formula>$B4="Risk"</formula>
    </cfRule>
    <cfRule type="expression" dxfId="5" priority="3">
      <formula>$B4="Assumption"</formula>
    </cfRule>
    <cfRule type="expression" dxfId="4" priority="4">
      <formula>$B4="Issue"</formula>
    </cfRule>
    <cfRule type="expression" dxfId="3" priority="5">
      <formula>$B4="Dependency"</formula>
    </cfRule>
  </conditionalFormatting>
  <conditionalFormatting sqref="G4:G43">
    <cfRule type="cellIs" dxfId="2" priority="6" operator="greaterThanOrEqual">
      <formula>6</formula>
    </cfRule>
    <cfRule type="cellIs" dxfId="1" priority="7" operator="between">
      <formula>3</formula>
      <formula>5</formula>
    </cfRule>
    <cfRule type="cellIs" dxfId="0" priority="8" operator="lessThanOrEqual">
      <formula>2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200-000000000000}">
          <x14:formula1>
            <xm:f>Lists!$A$2:$A$5</xm:f>
          </x14:formula1>
          <x14:formula2>
            <xm:f>0</xm:f>
          </x14:formula2>
          <xm:sqref>B4:B43</xm:sqref>
        </x14:dataValidation>
        <x14:dataValidation type="list" allowBlank="1" xr:uid="{00000000-0002-0000-0200-000001000000}">
          <x14:formula1>
            <xm:f>Lists!$D$2:$D$4</xm:f>
          </x14:formula1>
          <x14:formula2>
            <xm:f>0</xm:f>
          </x14:formula2>
          <xm:sqref>E4:E43</xm:sqref>
        </x14:dataValidation>
        <x14:dataValidation type="list" allowBlank="1" xr:uid="{00000000-0002-0000-0200-000002000000}">
          <x14:formula1>
            <xm:f>Lists!$E$2:$E$4</xm:f>
          </x14:formula1>
          <x14:formula2>
            <xm:f>0</xm:f>
          </x14:formula2>
          <xm:sqref>F4:F43</xm:sqref>
        </x14:dataValidation>
        <x14:dataValidation type="list" allowBlank="1" xr:uid="{00000000-0002-0000-0200-000003000000}">
          <x14:formula1>
            <xm:f>Lists!$B$2:$B$4</xm:f>
          </x14:formula1>
          <x14:formula2>
            <xm:f>0</xm:f>
          </x14:formula2>
          <xm:sqref>H4:H43</xm:sqref>
        </x14:dataValidation>
        <x14:dataValidation type="list" allowBlank="1" xr:uid="{00000000-0002-0000-0200-000004000000}">
          <x14:formula1>
            <xm:f>Lists!$C$2:$C$6</xm:f>
          </x14:formula1>
          <x14:formula2>
            <xm:f>0</xm:f>
          </x14:formula2>
          <xm:sqref>L4:L43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922E2066466747B06F5A2CB1EF004C" ma:contentTypeVersion="12" ma:contentTypeDescription="Create a new document." ma:contentTypeScope="" ma:versionID="031a2767ff50ac2aeb7997cb1dfed522">
  <xsd:schema xmlns:xsd="http://www.w3.org/2001/XMLSchema" xmlns:xs="http://www.w3.org/2001/XMLSchema" xmlns:p="http://schemas.microsoft.com/office/2006/metadata/properties" xmlns:ns2="e7e42320-c381-4d5c-a06d-fb941b9287c9" xmlns:ns3="e4cee1ae-901f-403b-af36-81ae1c6bd840" targetNamespace="http://schemas.microsoft.com/office/2006/metadata/properties" ma:root="true" ma:fieldsID="160ccc0bc4b8391b4323b42fe79fe202" ns2:_="" ns3:_="">
    <xsd:import namespace="e7e42320-c381-4d5c-a06d-fb941b9287c9"/>
    <xsd:import namespace="e4cee1ae-901f-403b-af36-81ae1c6bd8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e42320-c381-4d5c-a06d-fb941b9287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19edae7-b79a-4a5e-b725-af92424e05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ee1ae-901f-403b-af36-81ae1c6bd84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2537be7-019f-49ec-95ad-57224fc3b453}" ma:internalName="TaxCatchAll" ma:showField="CatchAllData" ma:web="e4cee1ae-901f-403b-af36-81ae1c6bd8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e42320-c381-4d5c-a06d-fb941b9287c9">
      <Terms xmlns="http://schemas.microsoft.com/office/infopath/2007/PartnerControls"/>
    </lcf76f155ced4ddcb4097134ff3c332f>
    <TaxCatchAll xmlns="e4cee1ae-901f-403b-af36-81ae1c6bd840" xsi:nil="true"/>
  </documentManagement>
</p:properties>
</file>

<file path=customXml/itemProps1.xml><?xml version="1.0" encoding="utf-8"?>
<ds:datastoreItem xmlns:ds="http://schemas.openxmlformats.org/officeDocument/2006/customXml" ds:itemID="{88B2BDD2-E7D8-42B8-B446-4B47577B2E81}"/>
</file>

<file path=customXml/itemProps2.xml><?xml version="1.0" encoding="utf-8"?>
<ds:datastoreItem xmlns:ds="http://schemas.openxmlformats.org/officeDocument/2006/customXml" ds:itemID="{E6F5BBD3-1E6F-48C3-A759-E6A79B648E7F}"/>
</file>

<file path=customXml/itemProps3.xml><?xml version="1.0" encoding="utf-8"?>
<ds:datastoreItem xmlns:ds="http://schemas.openxmlformats.org/officeDocument/2006/customXml" ds:itemID="{B7ECE845-28F5-4D9E-8D70-CC81BB7FDE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2026-07-17T15:40:51Z</dcterms:created>
  <dcterms:modified xsi:type="dcterms:W3CDTF">2026-07-30T21:24:26Z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0x010100E3922E2066466747B06F5A2CB1EF004C</vt:lpwstr>
  </property>
  <property fmtid="{D5CDD505-2E9C-101B-9397-08002B2CF9AE}" pid="3" name="MediaServiceImageTags">
    <vt:lpwstr/>
  </property>
</Properties>
</file>