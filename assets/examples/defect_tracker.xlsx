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Users/vishnutadepalli/Downloads/"/>
    </mc:Choice>
  </mc:AlternateContent>
  <xr:revisionPtr revIDLastSave="624" documentId="13_ncr:1_{6A70E179-8A4D-A14C-B48A-ADEA77BE1764}" xr6:coauthVersionLast="47" xr6:coauthVersionMax="47" xr10:uidLastSave="{FF1D778D-21A1-4926-95D2-3977EF972773}"/>
  <bookViews>
    <workbookView xWindow="0" yWindow="660" windowWidth="34560" windowHeight="21680" firstSheet="1" activeTab="1" xr2:uid="{00000000-000D-0000-FFFF-FFFF00000000}"/>
  </bookViews>
  <sheets>
    <sheet name="Summary" sheetId="4" r:id="rId1"/>
    <sheet name="Defect Tracker" sheetId="2" r:id="rId2"/>
    <sheet name="Hypercare Checklist" sheetId="3" r:id="rId3"/>
  </sheets>
  <definedNames>
    <definedName name="_xlnm._FilterDatabase" localSheetId="1" hidden="1">'Defect Tracker'!$B$4:$M$4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4" l="1"/>
</calcChain>
</file>

<file path=xl/sharedStrings.xml><?xml version="1.0" encoding="utf-8"?>
<sst xmlns="http://schemas.openxmlformats.org/spreadsheetml/2006/main" count="226" uniqueCount="124">
  <si>
    <t>SUMMARY</t>
  </si>
  <si>
    <t>TOPIC</t>
  </si>
  <si>
    <t>High</t>
  </si>
  <si>
    <t>Medium</t>
  </si>
  <si>
    <t>Low</t>
  </si>
  <si>
    <t>Fixed/Closed</t>
  </si>
  <si>
    <t>To Do</t>
  </si>
  <si>
    <t xml:space="preserve">Defects/ Bugs </t>
  </si>
  <si>
    <t>Edge Case</t>
  </si>
  <si>
    <t>Enhancement Requests</t>
  </si>
  <si>
    <t>Out of Scope/ Cancelled/ Human Errors</t>
  </si>
  <si>
    <r>
      <rPr>
        <b/>
        <i/>
        <u/>
        <sz val="11"/>
        <color rgb="FF000000"/>
        <rFont val="Calibri"/>
        <scheme val="minor"/>
      </rPr>
      <t>LEGEND</t>
    </r>
    <r>
      <rPr>
        <b/>
        <i/>
        <sz val="11"/>
        <color rgb="FF000000"/>
        <rFont val="Calibri"/>
        <scheme val="minor"/>
      </rPr>
      <t>:</t>
    </r>
  </si>
  <si>
    <r>
      <rPr>
        <i/>
        <sz val="11"/>
        <color rgb="FF000000"/>
        <rFont val="Calibri"/>
        <scheme val="minor"/>
      </rPr>
      <t xml:space="preserve">Filled by </t>
    </r>
    <r>
      <rPr>
        <b/>
        <i/>
        <sz val="11"/>
        <color rgb="FF000000"/>
        <rFont val="Calibri"/>
      </rPr>
      <t>Procurement / AP teams</t>
    </r>
  </si>
  <si>
    <r>
      <rPr>
        <b/>
        <i/>
        <sz val="11"/>
        <color rgb="FF000000"/>
        <rFont val="Calibri"/>
        <scheme val="minor"/>
      </rPr>
      <t xml:space="preserve">Description: </t>
    </r>
    <r>
      <rPr>
        <i/>
        <sz val="11"/>
        <color rgb="FF000000"/>
        <rFont val="Calibri"/>
        <scheme val="minor"/>
      </rPr>
      <t>Describe issue in detail. Please reference specific document numbers in your explanation. Include detail on what the expected behavior of the agent should be.</t>
    </r>
  </si>
  <si>
    <r>
      <rPr>
        <b/>
        <i/>
        <sz val="11"/>
        <color rgb="FFFF0000"/>
        <rFont val="Calibri"/>
        <scheme val="minor"/>
      </rPr>
      <t>Critical</t>
    </r>
    <r>
      <rPr>
        <b/>
        <i/>
        <sz val="11"/>
        <color rgb="FF000000"/>
        <rFont val="Calibri"/>
        <scheme val="minor"/>
      </rPr>
      <t xml:space="preserve"> </t>
    </r>
    <r>
      <rPr>
        <b/>
        <i/>
        <sz val="11"/>
        <color rgb="FFFF0000"/>
        <rFont val="Calibri"/>
        <scheme val="minor"/>
      </rPr>
      <t>= Requires immediate resolution</t>
    </r>
    <r>
      <rPr>
        <b/>
        <i/>
        <sz val="11"/>
        <color rgb="FF000000"/>
        <rFont val="Calibri"/>
        <scheme val="minor"/>
      </rPr>
      <t>:</t>
    </r>
    <r>
      <rPr>
        <i/>
        <sz val="11"/>
        <color rgb="FF000000"/>
        <rFont val="Calibri"/>
        <scheme val="minor"/>
      </rPr>
      <t xml:space="preserve"> A blocking issue that prevents core functionality or access (e.g., Monday board not accessible, data not loading). 
</t>
    </r>
    <r>
      <rPr>
        <b/>
        <i/>
        <sz val="11"/>
        <color rgb="FFE26B0A"/>
        <rFont val="Calibri"/>
        <scheme val="minor"/>
      </rPr>
      <t>High = Should be prioritized for rapid resolution</t>
    </r>
    <r>
      <rPr>
        <b/>
        <i/>
        <sz val="11"/>
        <color rgb="FF000000"/>
        <rFont val="Calibri"/>
        <scheme val="minor"/>
      </rPr>
      <t>:</t>
    </r>
    <r>
      <rPr>
        <i/>
        <sz val="11"/>
        <color rgb="FF000000"/>
        <rFont val="Calibri"/>
        <scheme val="minor"/>
      </rPr>
      <t xml:space="preserve"> A major issue that significantly impacts quality, accuracy, or trust in current or future recommendations, but does not fully block use.
</t>
    </r>
    <r>
      <rPr>
        <b/>
        <i/>
        <sz val="11"/>
        <color rgb="FF00B050"/>
        <rFont val="Calibri"/>
        <scheme val="minor"/>
      </rPr>
      <t>Medium = Schedule into regular maintenance or sprint work</t>
    </r>
    <r>
      <rPr>
        <b/>
        <i/>
        <sz val="11"/>
        <color rgb="FF000000"/>
        <rFont val="Calibri"/>
        <scheme val="minor"/>
      </rPr>
      <t>:</t>
    </r>
    <r>
      <rPr>
        <i/>
        <sz val="11"/>
        <color rgb="FF000000"/>
        <rFont val="Calibri"/>
        <scheme val="minor"/>
      </rPr>
      <t xml:space="preserve"> A non‑blocking issue with limited impact that should be addressed, but is not time‑sensitive.
</t>
    </r>
    <r>
      <rPr>
        <b/>
        <i/>
        <sz val="11"/>
        <color rgb="FF00B0F0"/>
        <rFont val="Calibri"/>
        <scheme val="minor"/>
      </rPr>
      <t>Low</t>
    </r>
    <r>
      <rPr>
        <b/>
        <i/>
        <sz val="11"/>
        <color rgb="FF000000"/>
        <rFont val="Calibri"/>
        <scheme val="minor"/>
      </rPr>
      <t xml:space="preserve"> </t>
    </r>
    <r>
      <rPr>
        <b/>
        <i/>
        <sz val="11"/>
        <color rgb="FF00B0F0"/>
        <rFont val="Calibri"/>
        <scheme val="minor"/>
      </rPr>
      <t>= Optional and typically deprioritized</t>
    </r>
    <r>
      <rPr>
        <b/>
        <i/>
        <sz val="11"/>
        <color rgb="FF000000"/>
        <rFont val="Calibri"/>
        <scheme val="minor"/>
      </rPr>
      <t xml:space="preserve">: </t>
    </r>
    <r>
      <rPr>
        <i/>
        <sz val="11"/>
        <color rgb="FF000000"/>
        <rFont val="Calibri"/>
        <scheme val="minor"/>
      </rPr>
      <t>A nice‑to‑have improvement or suggestion intended to enhance usability or user experience.</t>
    </r>
  </si>
  <si>
    <r>
      <rPr>
        <b/>
        <i/>
        <sz val="11"/>
        <color rgb="FF000000"/>
        <rFont val="Calibri"/>
        <scheme val="minor"/>
      </rPr>
      <t>Comments:</t>
    </r>
    <r>
      <rPr>
        <i/>
        <sz val="11"/>
        <color rgb="FF000000"/>
        <rFont val="Calibri"/>
        <scheme val="minor"/>
      </rPr>
      <t xml:space="preserve"> Any additional comments or concerns related to this issue.</t>
    </r>
  </si>
  <si>
    <r>
      <rPr>
        <b/>
        <i/>
        <sz val="11"/>
        <color rgb="FF000000"/>
        <rFont val="Calibri"/>
        <scheme val="minor"/>
      </rPr>
      <t>SLAs -</t>
    </r>
    <r>
      <rPr>
        <i/>
        <sz val="11"/>
        <color rgb="FF000000"/>
        <rFont val="Calibri"/>
        <scheme val="minor"/>
      </rPr>
      <t xml:space="preserve"> Fix within 2 business days for Critical &amp; High severity bugs</t>
    </r>
  </si>
  <si>
    <r>
      <rPr>
        <i/>
        <sz val="11"/>
        <color rgb="FF000000"/>
        <rFont val="Calibri"/>
        <scheme val="minor"/>
      </rPr>
      <t xml:space="preserve">Filled by </t>
    </r>
    <r>
      <rPr>
        <b/>
        <i/>
        <sz val="11"/>
        <color rgb="FF000000"/>
        <rFont val="Calibri"/>
        <scheme val="minor"/>
      </rPr>
      <t>Dev team</t>
    </r>
  </si>
  <si>
    <t>S.No</t>
  </si>
  <si>
    <t>Invoice#</t>
  </si>
  <si>
    <t>Date</t>
  </si>
  <si>
    <t>Reported By (AP analyst)</t>
  </si>
  <si>
    <t>Description</t>
  </si>
  <si>
    <t>Severity (Critical/High/Medium/Low)</t>
  </si>
  <si>
    <t>Type</t>
  </si>
  <si>
    <t>Comments</t>
  </si>
  <si>
    <t>DEV Focal</t>
  </si>
  <si>
    <t>Status (Open/In Progress/Resolved/Closed)</t>
  </si>
  <si>
    <t>Occurances</t>
  </si>
  <si>
    <t>Target Fix Date</t>
  </si>
  <si>
    <t>Fix Deployed</t>
  </si>
  <si>
    <t>3162065783, 3162065785, 7003406305</t>
  </si>
  <si>
    <t>Saroja Shetti</t>
  </si>
  <si>
    <t>For PO amount/quantity overbooking, the first recommended resolution step is incorrect. It should be "email PO requestor and ask them to validate whether the PO is accurate and up-to-date". Instead it is "AP Analyst: Verify the cumulative invoiced amount on PO 4701026660, confirm which prior invoice(s) caused the PO to exceed its net amount plus tolerance, and quantify the contribution of the current invoice 3162065783. (Addresses: Invoice Amount Overbooking)"</t>
  </si>
  <si>
    <t>Bug</t>
  </si>
  <si>
    <t>Sam</t>
  </si>
  <si>
    <t>Closed</t>
  </si>
  <si>
    <t xml:space="preserve">21st Apr </t>
  </si>
  <si>
    <t>Fix deployed on 21st Apr</t>
  </si>
  <si>
    <t>3162065785, 7003406305</t>
  </si>
  <si>
    <t>LLM is double-counting the invoice amount. This results in the total invoiced amount to be greater than the true value. Ex) "Current invoice impact: Adding the current invoice pushes the total invoiced amount to 29202.90 EUR (27582.37 EUR + 1620.53 EUR), further breaching the allowed maximum of 26006.77 EUR (25961.84 EUR + 44.93 EUR)."</t>
  </si>
  <si>
    <t>Fix deployed on 16th Apr</t>
  </si>
  <si>
    <t>Partial quantity calculation seems incorrect. Calculated value is 1.001, but "recorded" value is 1.002. This needs to be investigated.</t>
  </si>
  <si>
    <t>Jason</t>
  </si>
  <si>
    <t>15th Apr</t>
  </si>
  <si>
    <t>Fix deployed on 15th Apr</t>
  </si>
  <si>
    <t>In certain countries (Italy and Spain) invoice rejection is not permitted. In these countries, the proper recommendation is to request supplier submits a credit note equal in value to the invoice in question.</t>
  </si>
  <si>
    <t>Enhancement Request</t>
  </si>
  <si>
    <t>Sidd</t>
  </si>
  <si>
    <t>In scenarios where the partial quantity rounding is the sole factor contributing to PO overbook in quantity, the unit price does not need to be addressed. By fixing the partial quantity rounding, the invoice unit price will no longer exceed PO unit price. Resolution in these cases should be either: reject invoice and request supplier resubmits invoice with proper quantity rounding (round up to 3 decimals). IF THE INVOICE IS THE LAST FOR THE PO LINE the proper action is to remove the R block</t>
  </si>
  <si>
    <t>Anusha/Sidd</t>
  </si>
  <si>
    <t>27th Apr</t>
  </si>
  <si>
    <t>Fix deployed on 27th Apr</t>
  </si>
  <si>
    <t>N/A</t>
  </si>
  <si>
    <t>In some cases with PO overbook, the root cause is that the supplier references an incorrect PO. Team needs to decide whether this is a corner case, or whether this should be caveated in each recommendation.</t>
  </si>
  <si>
    <t>Done</t>
  </si>
  <si>
    <t>Sidd to confirm ?
This is deployed - Sidd</t>
  </si>
  <si>
    <t>7003414490, 7003414484, 700341449, 7003414492, 7003414499, 7003414506</t>
  </si>
  <si>
    <t>This is a corner case where PO line should be unit UL, but instead it is EA. This results in multiple invoices being charged against the PO line with quantity 1, resulting in quantity overbooking. The agent technically follows the proper resolution path, but does not specifically recommend this niche fix. Need to determine how/whether to approach this.</t>
  </si>
  <si>
    <t>Close</t>
  </si>
  <si>
    <t>Out of scope for Agent - will not be pursued</t>
  </si>
  <si>
    <t>Agent RCA provides detail on issues with invoice history charged to PO lines that are not R blocked. This can be confusing to the AP analyst. Consideration from Betti - there are cases (rare) where issues on invoices charged to non-overbooked PO lines may have actually caused the issue on other lines. Team needs to discuss whether we want to do anything about this behavior from the agent. Following UAT 2.1, we discussed that we want to have agent identify issues on all invoice history related to all PO lines. Need clarity.</t>
  </si>
  <si>
    <t>Anusha</t>
  </si>
  <si>
    <t>Discussed with SMEs - ultimately decided that agent is behaving as desired. We want to consider all issues with the invoice, not just the block on the blocked invoice. This gives more context and may raise an issue that is not apparent at face-value.</t>
  </si>
  <si>
    <t>compromise offered up by Betti (agreed upon by Sreejith and Csilla) was this:
For RCA and Recommendation reports: focus only on issues relating to the blocked invoice - do not consider issues with invoice history
For agent report: include all issues, including blocked invoice and invoice history</t>
  </si>
  <si>
    <t>This is a case of qty decimal rounding issue where qty is derived by dividing invoice value with the PO value. In this case AP analyst will raise block removal ticket for reason qty decimal. rounding.  However our system provided different quantity. Saroja showed that there was a negative qty due to credit invoice, however we considered that as positive qty which resulted in qty overbooking and amount overbooking</t>
  </si>
  <si>
    <t>For RCA and Recommendation reports: focus only on issues relating to the blocked invoice - do not consider issues with invoice history</t>
  </si>
  <si>
    <t xml:space="preserve">Should have been just rounding error. However it looks like the way currency conversion is handled within the code resulted in amount overbooking as well </t>
  </si>
  <si>
    <t>For agent report: include all issues, including blocked invoice and invoice history</t>
  </si>
  <si>
    <t>Chitra</t>
  </si>
  <si>
    <t>Deduplication timeout</t>
  </si>
  <si>
    <t>20th Apr</t>
  </si>
  <si>
    <t>Fix deployed</t>
  </si>
  <si>
    <t>There are some situations where PO quantity, amount, or unit price may look incorrect/mismatch with invoice - this can be because the PO number referenced is incorrect. This case must be accounted for. The R block resolution matrix has been updated to account for this - see option (c) in the resolution steps.</t>
  </si>
  <si>
    <t>Resolved</t>
  </si>
  <si>
    <t>Fix deployed on 22nd Apr</t>
  </si>
  <si>
    <t>There are some cases where agent references an issue with GR, when no GR exists or there is no GR required on by the PO. Agent prompt must be updated to avoid this confusing reference.</t>
  </si>
  <si>
    <t>In this case, the agent correclty identified the block on line 11, but missed the block on line 15 (overbook in quantity)</t>
  </si>
  <si>
    <t>Resolved - upon rerun, the agent captures the correct RCA</t>
  </si>
  <si>
    <t>No Fix Required</t>
  </si>
  <si>
    <t>CANCELLED</t>
  </si>
  <si>
    <t>Special case for Italy &amp; Spain - Recommedation (Cancellation of invoice &amp; reprocess) submit a manual credit entry (adding CR at the end of the invoice number), then reprocess the invoice (adding RP to the end of invoice number)?</t>
  </si>
  <si>
    <t>Cancelled - SMEs stated that this level of detail is not required for cancellation and reprocess</t>
  </si>
  <si>
    <t>Cancelled - No Fix required</t>
  </si>
  <si>
    <t>Enhancement request to recommendation wording: Once either the PO is uplifted or the invoice is rejected, AP does not need to "reprocess" the invoice. R blocks will automatically be removed from the invoice once the mismatch no-longer exists. Specific wording in invoice: "AP Analyst then reprocesses invoice 3162066183." This wording does not exist in the R block resolution matrix, so I'm not sure where this is coming from.</t>
  </si>
  <si>
    <t>What is status?</t>
  </si>
  <si>
    <t>Fix deployed on 29th Apr</t>
  </si>
  <si>
    <t>Sam Anthony</t>
  </si>
  <si>
    <t>Agent failed to write to Monday board due to a separate dashboard being created on production Monday (Nick's fault).</t>
  </si>
  <si>
    <t>In Review</t>
  </si>
  <si>
    <t>Agent Hallucination leading to resolution not getting created</t>
  </si>
  <si>
    <t>WxO Product for a full Fix</t>
  </si>
  <si>
    <t>Change monday mandatory fields for agent population to minimum fields</t>
  </si>
  <si>
    <t xml:space="preserve">For paper invoices (invoices starting with 3), R blocks are always the result of data entry error, not a true overbook in amount/quantity/etc. In these situations, it is preferred that agent recommend AP handles the resolution. PO requestor should not be notified in this scenario. </t>
  </si>
  <si>
    <t>SME to provide additional detail - team is going to provide a single ID who should be tasked with handling these issues.</t>
  </si>
  <si>
    <t>Data Entry Error ; pending with Procurement team</t>
  </si>
  <si>
    <t>Ariba unit price input at 0.011, but SAP iERP rounds this value to 0.01. Agent can only identify this issue with Ariba data, which is currently out of scope for the agent.</t>
  </si>
  <si>
    <t>Out of Scope</t>
  </si>
  <si>
    <t>Out of Scope (Ariba Data)</t>
  </si>
  <si>
    <t>PO is in USD, invoice is in JPY. AP expects all calculations to be done in PO currency. Agent is calculating in invoice currency.</t>
  </si>
  <si>
    <t>Agent did not identify the RCA of this R block. Further analysis needed to understand cause.</t>
  </si>
  <si>
    <t>Awaiting input from Saroja on the proper RCA for this invoice. Team will conduct investigation once we have this info.</t>
  </si>
  <si>
    <t>Category</t>
  </si>
  <si>
    <t>Checklist Item</t>
  </si>
  <si>
    <t>Status (Y/N)</t>
  </si>
  <si>
    <t>System Monitoring &amp; Stability</t>
  </si>
  <si>
    <t>Validate production system availability and uptime</t>
  </si>
  <si>
    <t>Monitor application logs for errors/warnings</t>
  </si>
  <si>
    <t>Monitor performance (latency, throughput, resource usage)</t>
  </si>
  <si>
    <t>Validate monitoring alerts are working</t>
  </si>
  <si>
    <t>Review agent response data integrity</t>
  </si>
  <si>
    <t>Defect &amp; Incident Management</t>
  </si>
  <si>
    <t>Ensure defect/incident tracker is live and accessible</t>
  </si>
  <si>
    <t>Yes</t>
  </si>
  <si>
    <t>Categorize issues (Critical, High, Medium, Low)</t>
  </si>
  <si>
    <t>Define SLAs for resolution and escalation</t>
  </si>
  <si>
    <t>Business Operations Support</t>
  </si>
  <si>
    <t>Validate of Agent Responses</t>
  </si>
  <si>
    <t>Communication &amp; Governance</t>
  </si>
  <si>
    <t>Daily HyperCare status call scheduled</t>
  </si>
  <si>
    <t>Centralized HyperCare log maintained</t>
  </si>
  <si>
    <t>Escalation contacts (L1, L2, L3, vendor) confirmed</t>
  </si>
  <si>
    <t>Knowledge &amp; Handover</t>
  </si>
  <si>
    <t xml:space="preserve">HyperCare exit review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</si>
</sst>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2"/>
      <name val="Calibri (Body)"/>
    </font>
    <font>
      <sz val="12"/>
      <color theme="1"/>
      <name val="Calibri (Body)"/>
    </font>
    <font>
      <i/>
      <sz val="11"/>
      <color theme="1"/>
      <name val="Calibri"/>
      <family val="2"/>
      <scheme val="minor"/>
    </font>
    <font>
      <i/>
      <sz val="11"/>
      <color rgb="FF000000"/>
      <name val="Calibri"/>
      <scheme val="minor"/>
    </font>
    <font>
      <b/>
      <i/>
      <sz val="11"/>
      <color rgb="FF000000"/>
      <name val="Calibri"/>
      <scheme val="minor"/>
    </font>
    <font>
      <i/>
      <sz val="11"/>
      <color theme="1"/>
      <name val="Calibri"/>
      <scheme val="minor"/>
    </font>
    <font>
      <b/>
      <i/>
      <sz val="11"/>
      <color rgb="FFFF0000"/>
      <name val="Calibri"/>
      <scheme val="minor"/>
    </font>
    <font>
      <b/>
      <i/>
      <sz val="11"/>
      <color rgb="FFE26B0A"/>
      <name val="Calibri"/>
      <scheme val="minor"/>
    </font>
    <font>
      <b/>
      <i/>
      <sz val="11"/>
      <color rgb="FF00B050"/>
      <name val="Calibri"/>
      <scheme val="minor"/>
    </font>
    <font>
      <b/>
      <i/>
      <sz val="11"/>
      <color rgb="FF00B0F0"/>
      <name val="Calibri"/>
      <scheme val="minor"/>
    </font>
    <font>
      <i/>
      <sz val="11"/>
      <color theme="9"/>
      <name val="Calibri"/>
      <family val="2"/>
      <scheme val="minor"/>
    </font>
    <font>
      <b/>
      <i/>
      <u/>
      <sz val="11"/>
      <color rgb="FF000000"/>
      <name val="Calibri"/>
      <scheme val="minor"/>
    </font>
    <font>
      <b/>
      <i/>
      <sz val="11"/>
      <color rgb="FF000000"/>
      <name val="Calibri"/>
    </font>
    <font>
      <i/>
      <sz val="11"/>
      <color rgb="FF000000"/>
      <name val="Calibri"/>
    </font>
    <font>
      <b/>
      <sz val="13"/>
      <name val="Calibri"/>
      <family val="2"/>
      <scheme val="minor"/>
    </font>
    <font>
      <sz val="13"/>
      <color theme="1"/>
      <name val="Calibri"/>
      <family val="2"/>
      <scheme val="minor"/>
    </font>
    <font>
      <sz val="12"/>
      <color rgb="FF323338"/>
      <name val="Calibri"/>
      <scheme val="minor"/>
    </font>
    <font>
      <i/>
      <sz val="11"/>
      <color rgb="FF000000"/>
      <name val="Calibri"/>
      <family val="2"/>
      <scheme val="minor"/>
    </font>
    <font>
      <b/>
      <sz val="12"/>
      <color theme="1"/>
      <name val="Calibri (Body)"/>
    </font>
    <font>
      <b/>
      <sz val="11"/>
      <color theme="1"/>
      <name val="Calibri"/>
      <family val="2"/>
      <scheme val="minor"/>
    </font>
    <font>
      <b/>
      <sz val="12"/>
      <color theme="1"/>
      <name val="Calibri"/>
      <family val="2"/>
      <scheme val="minor"/>
    </font>
    <font>
      <sz val="11"/>
      <color rgb="FF1D1C1D"/>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00B050"/>
        <bgColor indexed="64"/>
      </patternFill>
    </fill>
    <fill>
      <patternFill patternType="solid">
        <fgColor rgb="FFFFC000"/>
        <bgColor indexed="64"/>
      </patternFill>
    </fill>
    <fill>
      <patternFill patternType="solid">
        <fgColor theme="0"/>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right/>
      <top style="thick">
        <color rgb="FF000000"/>
      </top>
      <bottom/>
      <diagonal/>
    </border>
    <border>
      <left/>
      <right style="thin">
        <color rgb="FF000000"/>
      </right>
      <top style="thin">
        <color rgb="FF000000"/>
      </top>
      <bottom/>
      <diagonal/>
    </border>
    <border>
      <left style="thick">
        <color rgb="FF000000"/>
      </left>
      <right style="thin">
        <color rgb="FF000000"/>
      </right>
      <top style="thin">
        <color rgb="FF000000"/>
      </top>
      <bottom/>
      <diagonal/>
    </border>
    <border>
      <left style="thick">
        <color rgb="FF000000"/>
      </left>
      <right style="thin">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medium">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0" fillId="0" borderId="3" xfId="0" applyBorder="1"/>
    <xf numFmtId="0" fontId="11" fillId="3" borderId="4" xfId="0" applyNumberFormat="1" applyFont="1" applyFill="1" applyBorder="1" applyAlignment="1">
      <alignment horizontal="left" vertical="top"/>
    </xf>
    <xf numFmtId="0" fontId="3" fillId="2" borderId="7" xfId="0" applyNumberFormat="1" applyFont="1" applyFill="1" applyBorder="1" applyAlignment="1">
      <alignment horizontal="left" vertical="top"/>
    </xf>
    <xf numFmtId="0" fontId="14" fillId="0" borderId="8" xfId="0" applyNumberFormat="1" applyFont="1" applyBorder="1" applyAlignment="1">
      <alignment horizontal="left" vertical="top"/>
    </xf>
    <xf numFmtId="0" fontId="15" fillId="2" borderId="1" xfId="0" applyFont="1" applyFill="1" applyBorder="1" applyAlignment="1">
      <alignment horizontal="center" vertical="top"/>
    </xf>
    <xf numFmtId="0" fontId="16" fillId="0" borderId="1" xfId="0" applyFont="1" applyBorder="1"/>
    <xf numFmtId="0" fontId="4" fillId="0" borderId="2" xfId="0" applyNumberFormat="1" applyFont="1" applyBorder="1" applyAlignment="1">
      <alignment horizontal="left" vertical="top"/>
    </xf>
    <xf numFmtId="0" fontId="0" fillId="0" borderId="0" xfId="0" applyBorder="1"/>
    <xf numFmtId="0" fontId="2" fillId="0" borderId="1" xfId="0" applyFont="1" applyBorder="1" applyAlignment="1">
      <alignment vertical="top" wrapText="1"/>
    </xf>
    <xf numFmtId="0" fontId="2" fillId="0" borderId="1" xfId="0" applyFont="1" applyBorder="1" applyAlignment="1">
      <alignment vertical="top"/>
    </xf>
    <xf numFmtId="0" fontId="17" fillId="0" borderId="0" xfId="0" applyFont="1" applyAlignment="1">
      <alignment vertical="top" wrapText="1"/>
    </xf>
    <xf numFmtId="0" fontId="0" fillId="0" borderId="0" xfId="0" applyAlignment="1">
      <alignment vertical="top" wrapText="1"/>
    </xf>
    <xf numFmtId="0" fontId="2" fillId="0" borderId="1" xfId="0" applyFont="1" applyBorder="1" applyAlignment="1">
      <alignment horizontal="left" vertical="top"/>
    </xf>
    <xf numFmtId="16" fontId="2" fillId="0" borderId="1" xfId="0" applyNumberFormat="1" applyFont="1" applyBorder="1" applyAlignment="1">
      <alignment horizontal="left" vertical="top"/>
    </xf>
    <xf numFmtId="14" fontId="2" fillId="0" borderId="1" xfId="0" applyNumberFormat="1" applyFont="1" applyBorder="1" applyAlignment="1">
      <alignment horizontal="left" vertical="top"/>
    </xf>
    <xf numFmtId="0" fontId="2" fillId="0" borderId="1" xfId="0" applyFont="1" applyBorder="1" applyAlignment="1">
      <alignment horizontal="left" vertical="top" wrapText="1"/>
    </xf>
    <xf numFmtId="0" fontId="18" fillId="0" borderId="11" xfId="0" applyFont="1" applyBorder="1" applyAlignment="1">
      <alignment horizontal="left" vertical="top" wrapText="1"/>
    </xf>
    <xf numFmtId="0" fontId="18" fillId="0" borderId="12" xfId="0" applyFont="1" applyBorder="1" applyAlignment="1">
      <alignment horizontal="left" vertical="top" wrapText="1"/>
    </xf>
    <xf numFmtId="0" fontId="19" fillId="0" borderId="1" xfId="0" applyFont="1" applyBorder="1" applyAlignment="1">
      <alignment horizontal="left" vertical="top"/>
    </xf>
    <xf numFmtId="0" fontId="21" fillId="0" borderId="0" xfId="0" applyFont="1"/>
    <xf numFmtId="0" fontId="2" fillId="4" borderId="1" xfId="0" applyFont="1" applyFill="1" applyBorder="1" applyAlignment="1">
      <alignment vertical="top"/>
    </xf>
    <xf numFmtId="0" fontId="20" fillId="0" borderId="17" xfId="0" applyFont="1" applyBorder="1" applyAlignment="1">
      <alignment horizontal="center" vertical="top"/>
    </xf>
    <xf numFmtId="0" fontId="20" fillId="0" borderId="15" xfId="0" applyFont="1" applyBorder="1" applyAlignment="1">
      <alignment horizontal="center" vertical="top"/>
    </xf>
    <xf numFmtId="0" fontId="20" fillId="0" borderId="16" xfId="0" applyFont="1" applyBorder="1" applyAlignment="1">
      <alignment horizontal="center" vertical="top"/>
    </xf>
    <xf numFmtId="0" fontId="0" fillId="0" borderId="15" xfId="0" applyBorder="1" applyAlignment="1">
      <alignment vertical="top"/>
    </xf>
    <xf numFmtId="0" fontId="0" fillId="0" borderId="2" xfId="0" applyBorder="1" applyAlignment="1">
      <alignment vertical="top"/>
    </xf>
    <xf numFmtId="0" fontId="0" fillId="0" borderId="16" xfId="0" applyBorder="1" applyAlignment="1">
      <alignment horizontal="center" vertical="top"/>
    </xf>
    <xf numFmtId="0" fontId="0" fillId="0" borderId="15" xfId="0" applyBorder="1" applyAlignment="1">
      <alignment horizontal="center" vertical="top"/>
    </xf>
    <xf numFmtId="0" fontId="0" fillId="0" borderId="17" xfId="0" applyBorder="1" applyAlignment="1">
      <alignment horizontal="center" vertical="top"/>
    </xf>
    <xf numFmtId="0" fontId="0" fillId="0" borderId="10" xfId="0" applyBorder="1" applyAlignment="1">
      <alignment horizontal="center" vertical="top"/>
    </xf>
    <xf numFmtId="0" fontId="0" fillId="0" borderId="2" xfId="0" applyBorder="1" applyAlignment="1">
      <alignment horizontal="center" vertical="top"/>
    </xf>
    <xf numFmtId="0" fontId="19" fillId="5" borderId="1" xfId="0" applyFont="1" applyFill="1" applyBorder="1" applyAlignment="1">
      <alignment vertical="top"/>
    </xf>
    <xf numFmtId="0" fontId="0" fillId="4" borderId="0" xfId="0" applyFill="1"/>
    <xf numFmtId="0" fontId="19" fillId="4" borderId="1" xfId="0" applyFont="1" applyFill="1" applyBorder="1" applyAlignment="1">
      <alignment vertical="top"/>
    </xf>
    <xf numFmtId="0" fontId="2" fillId="6" borderId="1" xfId="0" applyFont="1" applyFill="1" applyBorder="1" applyAlignment="1">
      <alignment vertical="top"/>
    </xf>
    <xf numFmtId="0" fontId="2" fillId="4" borderId="1" xfId="0" applyFont="1" applyFill="1" applyBorder="1" applyAlignment="1">
      <alignment vertical="top" wrapText="1"/>
    </xf>
    <xf numFmtId="0" fontId="12" fillId="0" borderId="6" xfId="0" applyNumberFormat="1" applyFont="1" applyBorder="1" applyAlignment="1">
      <alignment horizontal="left" vertical="top"/>
    </xf>
    <xf numFmtId="0" fontId="12" fillId="0" borderId="5" xfId="0" applyNumberFormat="1" applyFont="1" applyBorder="1" applyAlignment="1">
      <alignment horizontal="left" vertical="top"/>
    </xf>
    <xf numFmtId="0" fontId="4" fillId="0" borderId="8" xfId="0" applyNumberFormat="1" applyFont="1" applyBorder="1" applyAlignment="1">
      <alignment horizontal="left" vertical="top" wrapText="1"/>
    </xf>
    <xf numFmtId="0" fontId="4" fillId="0" borderId="2" xfId="0" applyNumberFormat="1" applyFont="1" applyBorder="1" applyAlignment="1">
      <alignment horizontal="left" vertical="top" wrapText="1"/>
    </xf>
    <xf numFmtId="0" fontId="6" fillId="0" borderId="9" xfId="0" applyNumberFormat="1" applyFont="1" applyBorder="1" applyAlignment="1">
      <alignment horizontal="left" vertical="top" wrapText="1"/>
    </xf>
    <xf numFmtId="0" fontId="6" fillId="0" borderId="10" xfId="0" applyNumberFormat="1" applyFont="1" applyBorder="1" applyAlignment="1">
      <alignment horizontal="left" vertical="top" wrapText="1"/>
    </xf>
    <xf numFmtId="0" fontId="18" fillId="0" borderId="13" xfId="0" applyFont="1" applyBorder="1" applyAlignment="1">
      <alignment horizontal="left" vertical="top" wrapText="1"/>
    </xf>
    <xf numFmtId="0" fontId="18" fillId="0" borderId="14" xfId="0" applyFont="1" applyBorder="1" applyAlignment="1">
      <alignment horizontal="left" vertical="top" wrapText="1"/>
    </xf>
    <xf numFmtId="0" fontId="22" fillId="0" borderId="0" xfId="0" applyFont="1"/>
    <xf numFmtId="0" fontId="2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8292C-FF99-406F-A16E-52BB12E11484}">
  <dimension ref="A1:F7"/>
  <sheetViews>
    <sheetView workbookViewId="0">
      <selection activeCell="D15" sqref="D15"/>
    </sheetView>
  </sheetViews>
  <sheetFormatPr defaultRowHeight="15"/>
  <cols>
    <col min="1" max="1" width="37" customWidth="1"/>
    <col min="5" max="5" width="12.28515625" customWidth="1"/>
    <col min="6" max="6" width="8.5703125" customWidth="1"/>
  </cols>
  <sheetData>
    <row r="1" spans="1:6" ht="15.75">
      <c r="A1" s="22" t="s">
        <v>0</v>
      </c>
    </row>
    <row r="2" spans="1:6" ht="15.75">
      <c r="A2" s="22"/>
    </row>
    <row r="3" spans="1:6">
      <c r="A3" s="25" t="s">
        <v>1</v>
      </c>
      <c r="B3" s="26" t="s">
        <v>2</v>
      </c>
      <c r="C3" s="25" t="s">
        <v>3</v>
      </c>
      <c r="D3" s="26" t="s">
        <v>4</v>
      </c>
      <c r="E3" s="24" t="s">
        <v>5</v>
      </c>
      <c r="F3" s="25" t="s">
        <v>6</v>
      </c>
    </row>
    <row r="4" spans="1:6">
      <c r="A4" s="27" t="s">
        <v>7</v>
      </c>
      <c r="B4" s="29">
        <v>7</v>
      </c>
      <c r="C4" s="30">
        <v>2</v>
      </c>
      <c r="D4" s="29">
        <v>1</v>
      </c>
      <c r="E4" s="31">
        <v>8</v>
      </c>
      <c r="F4" s="30">
        <v>2</v>
      </c>
    </row>
    <row r="5" spans="1:6">
      <c r="A5" s="28" t="s">
        <v>8</v>
      </c>
      <c r="B5" s="32"/>
      <c r="C5" s="33">
        <f>3</f>
        <v>3</v>
      </c>
      <c r="D5" s="32">
        <v>1</v>
      </c>
      <c r="E5" s="31">
        <v>3</v>
      </c>
      <c r="F5" s="30">
        <v>1</v>
      </c>
    </row>
    <row r="6" spans="1:6">
      <c r="A6" s="27" t="s">
        <v>9</v>
      </c>
      <c r="B6" s="30">
        <v>1</v>
      </c>
      <c r="C6" s="30">
        <v>3</v>
      </c>
      <c r="D6" s="29">
        <v>1</v>
      </c>
      <c r="E6" s="31">
        <v>3</v>
      </c>
      <c r="F6" s="30">
        <v>2</v>
      </c>
    </row>
    <row r="7" spans="1:6">
      <c r="A7" s="27" t="s">
        <v>10</v>
      </c>
      <c r="B7" s="30"/>
      <c r="C7" s="30">
        <v>1</v>
      </c>
      <c r="D7" s="29"/>
      <c r="E7" s="31">
        <v>1</v>
      </c>
      <c r="F7" s="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O74"/>
  <sheetViews>
    <sheetView tabSelected="1" workbookViewId="0">
      <pane xSplit="5" topLeftCell="M11" activePane="topRight" state="frozen"/>
      <selection pane="topRight" activeCell="P12" sqref="P12"/>
    </sheetView>
  </sheetViews>
  <sheetFormatPr defaultColWidth="16.140625" defaultRowHeight="15"/>
  <cols>
    <col min="2" max="2" width="41.28515625" bestFit="1" customWidth="1"/>
    <col min="4" max="4" width="30.85546875" customWidth="1"/>
    <col min="5" max="5" width="59.28515625" customWidth="1"/>
    <col min="6" max="6" width="50.85546875" customWidth="1"/>
    <col min="7" max="7" width="26" customWidth="1"/>
    <col min="8" max="8" width="30.85546875" customWidth="1"/>
    <col min="10" max="10" width="46.28515625" customWidth="1"/>
    <col min="11" max="11" width="24.85546875" customWidth="1"/>
    <col min="13" max="13" width="27.28515625" customWidth="1"/>
    <col min="14" max="14" width="35.28515625" customWidth="1"/>
  </cols>
  <sheetData>
    <row r="1" spans="1:15" ht="198" customHeight="1">
      <c r="A1" s="39"/>
      <c r="B1" s="39" t="s">
        <v>11</v>
      </c>
      <c r="C1" s="5"/>
      <c r="D1" s="6" t="s">
        <v>12</v>
      </c>
      <c r="E1" s="41" t="s">
        <v>13</v>
      </c>
      <c r="F1" s="43" t="s">
        <v>14</v>
      </c>
      <c r="G1" s="19" t="s">
        <v>15</v>
      </c>
      <c r="H1" s="45" t="s">
        <v>16</v>
      </c>
    </row>
    <row r="2" spans="1:15">
      <c r="A2" s="40"/>
      <c r="B2" s="40"/>
      <c r="C2" s="4"/>
      <c r="D2" s="9" t="s">
        <v>17</v>
      </c>
      <c r="E2" s="42"/>
      <c r="F2" s="44"/>
      <c r="G2" s="20"/>
      <c r="H2" s="46"/>
    </row>
    <row r="3" spans="1:15">
      <c r="A3" s="3"/>
      <c r="B3" s="3"/>
      <c r="C3" s="3"/>
      <c r="D3" s="3"/>
      <c r="E3" s="3"/>
      <c r="F3" s="3"/>
      <c r="G3" s="10"/>
      <c r="H3" s="10"/>
    </row>
    <row r="4" spans="1:15" ht="15.75">
      <c r="A4" s="1" t="s">
        <v>18</v>
      </c>
      <c r="B4" s="1" t="s">
        <v>19</v>
      </c>
      <c r="C4" s="1" t="s">
        <v>20</v>
      </c>
      <c r="D4" s="1" t="s">
        <v>21</v>
      </c>
      <c r="E4" s="1" t="s">
        <v>22</v>
      </c>
      <c r="F4" s="1" t="s">
        <v>23</v>
      </c>
      <c r="G4" s="1" t="s">
        <v>24</v>
      </c>
      <c r="H4" s="1" t="s">
        <v>25</v>
      </c>
      <c r="I4" s="2" t="s">
        <v>26</v>
      </c>
      <c r="J4" s="2" t="s">
        <v>27</v>
      </c>
      <c r="K4" s="2" t="s">
        <v>28</v>
      </c>
      <c r="L4" s="2" t="s">
        <v>29</v>
      </c>
      <c r="M4" s="2" t="s">
        <v>30</v>
      </c>
      <c r="N4" s="2" t="s">
        <v>25</v>
      </c>
    </row>
    <row r="5" spans="1:15" ht="159.75">
      <c r="A5" s="15">
        <v>1</v>
      </c>
      <c r="B5" s="15" t="s">
        <v>31</v>
      </c>
      <c r="C5" s="16">
        <v>46126</v>
      </c>
      <c r="D5" s="15" t="s">
        <v>32</v>
      </c>
      <c r="E5" s="11" t="s">
        <v>33</v>
      </c>
      <c r="F5" s="12" t="s">
        <v>2</v>
      </c>
      <c r="G5" s="12" t="s">
        <v>34</v>
      </c>
      <c r="H5" s="12"/>
      <c r="I5" s="12" t="s">
        <v>35</v>
      </c>
      <c r="J5" s="12" t="s">
        <v>36</v>
      </c>
      <c r="K5" s="12"/>
      <c r="L5" s="12" t="s">
        <v>37</v>
      </c>
      <c r="M5" s="23" t="s">
        <v>38</v>
      </c>
      <c r="N5" s="12"/>
    </row>
    <row r="6" spans="1:15" ht="124.5">
      <c r="A6" s="15">
        <v>2</v>
      </c>
      <c r="B6" s="15" t="s">
        <v>39</v>
      </c>
      <c r="C6" s="16">
        <v>46126</v>
      </c>
      <c r="D6" s="15" t="s">
        <v>32</v>
      </c>
      <c r="E6" s="11" t="s">
        <v>40</v>
      </c>
      <c r="F6" s="11" t="s">
        <v>2</v>
      </c>
      <c r="G6" s="11" t="s">
        <v>34</v>
      </c>
      <c r="H6" s="12"/>
      <c r="I6" s="12" t="s">
        <v>35</v>
      </c>
      <c r="J6" s="12" t="s">
        <v>36</v>
      </c>
      <c r="K6" s="11"/>
      <c r="L6" s="12"/>
      <c r="M6" s="23" t="s">
        <v>41</v>
      </c>
      <c r="N6" s="12"/>
    </row>
    <row r="7" spans="1:15" ht="53.25">
      <c r="A7" s="15">
        <v>3</v>
      </c>
      <c r="B7" s="15">
        <v>3162065831</v>
      </c>
      <c r="C7" s="16">
        <v>46126</v>
      </c>
      <c r="D7" s="15" t="s">
        <v>32</v>
      </c>
      <c r="E7" s="11" t="s">
        <v>42</v>
      </c>
      <c r="F7" s="12" t="s">
        <v>2</v>
      </c>
      <c r="G7" s="12" t="s">
        <v>34</v>
      </c>
      <c r="H7" s="12"/>
      <c r="I7" s="12" t="s">
        <v>43</v>
      </c>
      <c r="J7" s="12" t="s">
        <v>36</v>
      </c>
      <c r="K7" s="12"/>
      <c r="L7" s="12" t="s">
        <v>44</v>
      </c>
      <c r="M7" s="23" t="s">
        <v>45</v>
      </c>
      <c r="N7" s="12"/>
    </row>
    <row r="8" spans="1:15" ht="70.5">
      <c r="A8" s="15">
        <v>4</v>
      </c>
      <c r="B8" s="15">
        <v>3162065783</v>
      </c>
      <c r="C8" s="16">
        <v>46126</v>
      </c>
      <c r="D8" s="15" t="s">
        <v>32</v>
      </c>
      <c r="E8" s="11" t="s">
        <v>46</v>
      </c>
      <c r="F8" s="12" t="s">
        <v>3</v>
      </c>
      <c r="G8" s="12" t="s">
        <v>47</v>
      </c>
      <c r="H8" s="12"/>
      <c r="I8" s="12" t="s">
        <v>48</v>
      </c>
      <c r="J8" s="12" t="s">
        <v>36</v>
      </c>
      <c r="K8" s="12"/>
      <c r="L8" s="12" t="s">
        <v>44</v>
      </c>
      <c r="M8" s="23" t="s">
        <v>41</v>
      </c>
      <c r="N8" s="12"/>
    </row>
    <row r="9" spans="1:15" ht="159.75">
      <c r="A9" s="15">
        <v>5</v>
      </c>
      <c r="B9" s="15">
        <v>7003402942</v>
      </c>
      <c r="C9" s="17">
        <v>46127</v>
      </c>
      <c r="D9" s="15" t="s">
        <v>32</v>
      </c>
      <c r="E9" s="11" t="s">
        <v>49</v>
      </c>
      <c r="F9" s="12" t="s">
        <v>3</v>
      </c>
      <c r="G9" s="12" t="s">
        <v>47</v>
      </c>
      <c r="H9" s="12"/>
      <c r="I9" s="12" t="s">
        <v>50</v>
      </c>
      <c r="J9" s="12" t="s">
        <v>36</v>
      </c>
      <c r="K9" s="12"/>
      <c r="L9" s="12" t="s">
        <v>51</v>
      </c>
      <c r="M9" s="35" t="s">
        <v>52</v>
      </c>
      <c r="N9" s="12"/>
    </row>
    <row r="10" spans="1:15" ht="70.5">
      <c r="A10" s="15">
        <v>6</v>
      </c>
      <c r="B10" s="15" t="s">
        <v>53</v>
      </c>
      <c r="C10" s="17">
        <v>46127</v>
      </c>
      <c r="D10" s="15" t="s">
        <v>32</v>
      </c>
      <c r="E10" s="11" t="s">
        <v>54</v>
      </c>
      <c r="F10" s="12" t="s">
        <v>3</v>
      </c>
      <c r="G10" s="12" t="s">
        <v>8</v>
      </c>
      <c r="H10" s="12"/>
      <c r="I10" s="12" t="s">
        <v>48</v>
      </c>
      <c r="J10" s="12" t="s">
        <v>55</v>
      </c>
      <c r="K10" s="12"/>
      <c r="L10" s="37"/>
      <c r="M10" s="38" t="s">
        <v>30</v>
      </c>
      <c r="N10" s="11" t="s">
        <v>56</v>
      </c>
    </row>
    <row r="11" spans="1:15" ht="124.5">
      <c r="A11" s="15">
        <v>7</v>
      </c>
      <c r="B11" s="18" t="s">
        <v>57</v>
      </c>
      <c r="C11" s="17">
        <v>46128</v>
      </c>
      <c r="D11" s="15" t="s">
        <v>32</v>
      </c>
      <c r="E11" s="11" t="s">
        <v>58</v>
      </c>
      <c r="F11" s="12" t="s">
        <v>4</v>
      </c>
      <c r="G11" s="12" t="s">
        <v>8</v>
      </c>
      <c r="H11" s="12"/>
      <c r="I11" s="12"/>
      <c r="J11" s="12" t="s">
        <v>59</v>
      </c>
      <c r="K11" s="12"/>
      <c r="L11" s="12"/>
      <c r="M11" s="23"/>
      <c r="N11" s="11" t="s">
        <v>60</v>
      </c>
    </row>
    <row r="12" spans="1:15" ht="244.5">
      <c r="A12" s="15">
        <v>8</v>
      </c>
      <c r="B12" s="15">
        <v>3162066092</v>
      </c>
      <c r="C12" s="17">
        <v>46128</v>
      </c>
      <c r="D12" s="15" t="s">
        <v>32</v>
      </c>
      <c r="E12" s="11" t="s">
        <v>61</v>
      </c>
      <c r="F12" s="12" t="s">
        <v>3</v>
      </c>
      <c r="G12" s="12" t="s">
        <v>47</v>
      </c>
      <c r="H12" s="12"/>
      <c r="I12" s="12" t="s">
        <v>62</v>
      </c>
      <c r="J12" s="11" t="s">
        <v>63</v>
      </c>
      <c r="K12" s="12"/>
      <c r="L12" s="12"/>
      <c r="M12" s="37"/>
      <c r="N12" s="48" t="s">
        <v>64</v>
      </c>
    </row>
    <row r="13" spans="1:15" ht="121.5" customHeight="1">
      <c r="A13" s="15">
        <v>9</v>
      </c>
      <c r="B13" s="15">
        <v>7003416764</v>
      </c>
      <c r="C13" s="17">
        <v>46129</v>
      </c>
      <c r="D13" s="15" t="s">
        <v>32</v>
      </c>
      <c r="E13" s="13" t="s">
        <v>65</v>
      </c>
      <c r="F13" s="12" t="s">
        <v>3</v>
      </c>
      <c r="G13" s="12" t="s">
        <v>34</v>
      </c>
      <c r="H13" s="12"/>
      <c r="I13" s="12" t="s">
        <v>43</v>
      </c>
      <c r="J13" s="12"/>
      <c r="K13" s="12"/>
      <c r="L13" s="12"/>
      <c r="M13" s="23" t="s">
        <v>30</v>
      </c>
      <c r="N13" s="47">
        <v>1</v>
      </c>
      <c r="O13" s="47" t="s">
        <v>66</v>
      </c>
    </row>
    <row r="14" spans="1:15" ht="53.25">
      <c r="A14" s="15">
        <v>10</v>
      </c>
      <c r="B14" s="15">
        <v>3162066099</v>
      </c>
      <c r="C14" s="17">
        <v>46129</v>
      </c>
      <c r="D14" s="15" t="s">
        <v>32</v>
      </c>
      <c r="E14" s="11" t="s">
        <v>67</v>
      </c>
      <c r="F14" s="12" t="s">
        <v>2</v>
      </c>
      <c r="G14" s="12" t="s">
        <v>34</v>
      </c>
      <c r="H14" s="12"/>
      <c r="I14" s="12" t="s">
        <v>43</v>
      </c>
      <c r="J14" s="12"/>
      <c r="K14" s="12"/>
      <c r="L14" s="12"/>
      <c r="M14" s="23" t="s">
        <v>30</v>
      </c>
      <c r="N14" s="47">
        <v>2</v>
      </c>
      <c r="O14" s="47" t="s">
        <v>68</v>
      </c>
    </row>
    <row r="15" spans="1:15">
      <c r="A15" s="15">
        <v>11</v>
      </c>
      <c r="B15" s="15" t="s">
        <v>53</v>
      </c>
      <c r="C15" s="17">
        <v>46129</v>
      </c>
      <c r="D15" s="15" t="s">
        <v>69</v>
      </c>
      <c r="E15" s="12" t="s">
        <v>70</v>
      </c>
      <c r="F15" s="12" t="s">
        <v>2</v>
      </c>
      <c r="G15" s="12" t="s">
        <v>34</v>
      </c>
      <c r="H15" s="12"/>
      <c r="I15" s="12" t="s">
        <v>69</v>
      </c>
      <c r="J15" s="12"/>
      <c r="K15" s="12"/>
      <c r="L15" s="12" t="s">
        <v>71</v>
      </c>
      <c r="M15" s="23" t="s">
        <v>72</v>
      </c>
      <c r="N15" s="12"/>
    </row>
    <row r="16" spans="1:15" ht="106.5">
      <c r="A16" s="15">
        <v>12</v>
      </c>
      <c r="B16" s="15"/>
      <c r="C16" s="17">
        <v>46132</v>
      </c>
      <c r="D16" s="15" t="s">
        <v>32</v>
      </c>
      <c r="E16" s="11" t="s">
        <v>73</v>
      </c>
      <c r="F16" s="12" t="s">
        <v>3</v>
      </c>
      <c r="G16" s="12" t="s">
        <v>8</v>
      </c>
      <c r="H16" s="12"/>
      <c r="I16" s="12" t="s">
        <v>48</v>
      </c>
      <c r="J16" s="12" t="s">
        <v>74</v>
      </c>
      <c r="K16" s="12"/>
      <c r="L16" s="12"/>
      <c r="M16" s="23" t="s">
        <v>75</v>
      </c>
      <c r="N16" s="12"/>
    </row>
    <row r="17" spans="1:14" ht="70.5">
      <c r="A17" s="15">
        <v>13</v>
      </c>
      <c r="B17" s="15"/>
      <c r="C17" s="17">
        <v>46132</v>
      </c>
      <c r="D17" s="15" t="s">
        <v>32</v>
      </c>
      <c r="E17" s="11" t="s">
        <v>76</v>
      </c>
      <c r="F17" s="12" t="s">
        <v>3</v>
      </c>
      <c r="G17" s="12" t="s">
        <v>34</v>
      </c>
      <c r="H17" s="12"/>
      <c r="I17" s="12" t="s">
        <v>48</v>
      </c>
      <c r="J17" s="12" t="s">
        <v>74</v>
      </c>
      <c r="K17" s="12"/>
      <c r="L17" s="12"/>
      <c r="M17" s="23" t="s">
        <v>75</v>
      </c>
      <c r="N17" s="12"/>
    </row>
    <row r="18" spans="1:14" ht="30.75">
      <c r="A18" s="15">
        <v>14</v>
      </c>
      <c r="B18" s="15">
        <v>3162066168</v>
      </c>
      <c r="C18" s="17">
        <v>46132</v>
      </c>
      <c r="D18" s="15" t="s">
        <v>32</v>
      </c>
      <c r="E18" s="14" t="s">
        <v>77</v>
      </c>
      <c r="F18" s="12" t="s">
        <v>2</v>
      </c>
      <c r="G18" s="12" t="s">
        <v>34</v>
      </c>
      <c r="H18" s="12"/>
      <c r="I18" s="12" t="s">
        <v>35</v>
      </c>
      <c r="J18" s="12" t="s">
        <v>78</v>
      </c>
      <c r="K18" s="12"/>
      <c r="L18" s="12"/>
      <c r="M18" s="23" t="s">
        <v>79</v>
      </c>
      <c r="N18" s="12"/>
    </row>
    <row r="19" spans="1:14" ht="88.5">
      <c r="A19" s="15">
        <v>15</v>
      </c>
      <c r="B19" s="21" t="s">
        <v>80</v>
      </c>
      <c r="C19" s="17">
        <v>46131</v>
      </c>
      <c r="D19" s="15" t="s">
        <v>32</v>
      </c>
      <c r="E19" s="11" t="s">
        <v>81</v>
      </c>
      <c r="F19" s="12" t="s">
        <v>3</v>
      </c>
      <c r="G19" s="12" t="s">
        <v>8</v>
      </c>
      <c r="H19" s="12"/>
      <c r="I19" s="12"/>
      <c r="J19" s="11" t="s">
        <v>82</v>
      </c>
      <c r="K19" s="12"/>
      <c r="L19" s="12"/>
      <c r="M19" s="23" t="s">
        <v>83</v>
      </c>
      <c r="N19" s="12"/>
    </row>
    <row r="20" spans="1:14" ht="141.75">
      <c r="A20" s="15">
        <v>16</v>
      </c>
      <c r="B20" s="15">
        <v>3162066183</v>
      </c>
      <c r="C20" s="17">
        <v>46133</v>
      </c>
      <c r="D20" s="15" t="s">
        <v>32</v>
      </c>
      <c r="E20" s="11" t="s">
        <v>84</v>
      </c>
      <c r="F20" s="12" t="s">
        <v>4</v>
      </c>
      <c r="G20" s="12" t="s">
        <v>34</v>
      </c>
      <c r="H20" s="12"/>
      <c r="I20" s="12" t="s">
        <v>62</v>
      </c>
      <c r="J20" s="12" t="s">
        <v>85</v>
      </c>
      <c r="K20" s="12"/>
      <c r="L20" s="12"/>
      <c r="M20" s="23" t="s">
        <v>86</v>
      </c>
      <c r="N20" s="12"/>
    </row>
    <row r="21" spans="1:14" ht="53.25">
      <c r="A21" s="15">
        <v>17</v>
      </c>
      <c r="B21" s="15" t="s">
        <v>53</v>
      </c>
      <c r="C21" s="17">
        <v>46132</v>
      </c>
      <c r="D21" s="15" t="s">
        <v>87</v>
      </c>
      <c r="E21" s="11" t="s">
        <v>88</v>
      </c>
      <c r="F21" s="12" t="s">
        <v>2</v>
      </c>
      <c r="G21" s="12" t="s">
        <v>34</v>
      </c>
      <c r="H21" s="12"/>
      <c r="I21" s="12" t="s">
        <v>35</v>
      </c>
      <c r="J21" s="12" t="s">
        <v>89</v>
      </c>
      <c r="K21" s="12"/>
      <c r="L21" s="12"/>
      <c r="M21" s="23" t="s">
        <v>38</v>
      </c>
      <c r="N21" s="12"/>
    </row>
    <row r="22" spans="1:14" ht="36">
      <c r="A22" s="15">
        <v>18</v>
      </c>
      <c r="B22" s="15"/>
      <c r="C22" s="15"/>
      <c r="D22" s="15"/>
      <c r="E22" s="12" t="s">
        <v>90</v>
      </c>
      <c r="F22" s="12" t="s">
        <v>3</v>
      </c>
      <c r="G22" s="12" t="s">
        <v>34</v>
      </c>
      <c r="H22" s="12"/>
      <c r="I22" s="12" t="s">
        <v>35</v>
      </c>
      <c r="J22" s="12"/>
      <c r="K22" s="12"/>
      <c r="L22" s="12"/>
      <c r="M22" s="36" t="s">
        <v>86</v>
      </c>
      <c r="N22" s="11" t="s">
        <v>91</v>
      </c>
    </row>
    <row r="23" spans="1:14" ht="50.25" customHeight="1">
      <c r="A23" s="15">
        <v>19</v>
      </c>
      <c r="B23" s="15"/>
      <c r="C23" s="15"/>
      <c r="D23" s="15"/>
      <c r="E23" s="11" t="s">
        <v>92</v>
      </c>
      <c r="F23" s="12" t="s">
        <v>2</v>
      </c>
      <c r="G23" s="12" t="s">
        <v>47</v>
      </c>
      <c r="H23" s="12"/>
      <c r="I23" s="12" t="s">
        <v>35</v>
      </c>
      <c r="J23" s="12"/>
      <c r="K23" s="12"/>
      <c r="L23" s="12"/>
      <c r="M23" s="36" t="s">
        <v>83</v>
      </c>
      <c r="N23" s="12"/>
    </row>
    <row r="24" spans="1:14" ht="88.5">
      <c r="A24" s="15">
        <v>20</v>
      </c>
      <c r="B24" s="15">
        <v>3101122742</v>
      </c>
      <c r="C24" s="17">
        <v>46139</v>
      </c>
      <c r="D24" s="15" t="s">
        <v>32</v>
      </c>
      <c r="E24" s="11" t="s">
        <v>93</v>
      </c>
      <c r="F24" s="12" t="s">
        <v>4</v>
      </c>
      <c r="G24" s="12" t="s">
        <v>47</v>
      </c>
      <c r="H24" s="12"/>
      <c r="I24" s="12"/>
      <c r="J24" s="11" t="s">
        <v>94</v>
      </c>
      <c r="K24" s="12"/>
      <c r="L24" s="12"/>
      <c r="M24" s="34"/>
      <c r="N24" s="11" t="s">
        <v>95</v>
      </c>
    </row>
    <row r="25" spans="1:14" ht="53.25">
      <c r="A25" s="15">
        <v>21</v>
      </c>
      <c r="B25" s="15">
        <v>7003434594</v>
      </c>
      <c r="C25" s="17">
        <v>46146</v>
      </c>
      <c r="D25" s="15" t="s">
        <v>32</v>
      </c>
      <c r="E25" s="11" t="s">
        <v>96</v>
      </c>
      <c r="F25" s="12" t="s">
        <v>97</v>
      </c>
      <c r="G25" s="12" t="s">
        <v>47</v>
      </c>
      <c r="H25" s="12"/>
      <c r="I25" s="12"/>
      <c r="J25" s="12"/>
      <c r="K25" s="12"/>
      <c r="L25" s="12"/>
      <c r="M25" s="12" t="s">
        <v>98</v>
      </c>
      <c r="N25" s="12"/>
    </row>
    <row r="26" spans="1:14" ht="53.25">
      <c r="A26" s="15">
        <v>22</v>
      </c>
      <c r="B26" s="15">
        <v>7003434646</v>
      </c>
      <c r="C26" s="17">
        <v>46146</v>
      </c>
      <c r="D26" s="15" t="s">
        <v>32</v>
      </c>
      <c r="E26" s="11" t="s">
        <v>99</v>
      </c>
      <c r="F26" s="12" t="s">
        <v>3</v>
      </c>
      <c r="G26" s="12"/>
      <c r="H26" s="12"/>
      <c r="I26" s="12"/>
      <c r="J26" s="12"/>
      <c r="K26" s="12"/>
      <c r="L26" s="12"/>
      <c r="M26" s="12"/>
      <c r="N26" s="12"/>
    </row>
    <row r="27" spans="1:14" ht="53.25">
      <c r="A27" s="15">
        <v>23</v>
      </c>
      <c r="B27" s="15">
        <v>3162066456</v>
      </c>
      <c r="C27" s="17">
        <v>46146</v>
      </c>
      <c r="D27" s="15" t="s">
        <v>32</v>
      </c>
      <c r="E27" s="11" t="s">
        <v>100</v>
      </c>
      <c r="F27" s="12" t="s">
        <v>2</v>
      </c>
      <c r="G27" s="12"/>
      <c r="H27" s="12"/>
      <c r="I27" s="12"/>
      <c r="J27" s="11" t="s">
        <v>101</v>
      </c>
      <c r="K27" s="12"/>
      <c r="L27" s="12"/>
      <c r="M27" s="12"/>
      <c r="N27" s="12"/>
    </row>
    <row r="28" spans="1:14">
      <c r="A28" s="15"/>
      <c r="B28" s="15"/>
      <c r="C28" s="15"/>
      <c r="D28" s="15"/>
      <c r="E28" s="12"/>
      <c r="F28" s="12"/>
      <c r="G28" s="12"/>
      <c r="H28" s="12"/>
      <c r="I28" s="12"/>
      <c r="J28" s="12"/>
      <c r="K28" s="12"/>
      <c r="L28" s="12"/>
      <c r="M28" s="12"/>
      <c r="N28" s="12"/>
    </row>
    <row r="29" spans="1:14">
      <c r="A29" s="15"/>
      <c r="B29" s="15"/>
      <c r="C29" s="15"/>
      <c r="D29" s="15"/>
      <c r="E29" s="12"/>
      <c r="F29" s="12"/>
      <c r="G29" s="12"/>
      <c r="H29" s="12"/>
      <c r="I29" s="12"/>
      <c r="J29" s="12"/>
      <c r="K29" s="12"/>
      <c r="L29" s="12"/>
      <c r="M29" s="12"/>
      <c r="N29" s="12"/>
    </row>
    <row r="30" spans="1:14">
      <c r="A30" s="15"/>
      <c r="B30" s="15"/>
      <c r="C30" s="15"/>
      <c r="D30" s="15"/>
      <c r="E30" s="12"/>
      <c r="F30" s="12"/>
      <c r="G30" s="12"/>
      <c r="H30" s="12"/>
      <c r="I30" s="12"/>
      <c r="J30" s="12"/>
      <c r="K30" s="12"/>
      <c r="L30" s="12"/>
      <c r="M30" s="12"/>
      <c r="N30" s="12"/>
    </row>
    <row r="31" spans="1:14">
      <c r="A31" s="15"/>
      <c r="B31" s="15"/>
      <c r="C31" s="15"/>
      <c r="D31" s="15"/>
      <c r="E31" s="12"/>
      <c r="F31" s="12"/>
      <c r="G31" s="12"/>
      <c r="H31" s="12"/>
      <c r="I31" s="12"/>
      <c r="J31" s="12"/>
      <c r="K31" s="12"/>
      <c r="L31" s="12"/>
      <c r="M31" s="12"/>
      <c r="N31" s="12"/>
    </row>
    <row r="32" spans="1:14">
      <c r="A32" s="15"/>
      <c r="B32" s="15"/>
      <c r="C32" s="15"/>
      <c r="D32" s="15"/>
      <c r="E32" s="12"/>
      <c r="F32" s="12"/>
      <c r="G32" s="12"/>
      <c r="H32" s="12"/>
      <c r="I32" s="12"/>
      <c r="J32" s="12"/>
      <c r="K32" s="12"/>
      <c r="L32" s="12"/>
      <c r="M32" s="12"/>
      <c r="N32" s="12"/>
    </row>
    <row r="33" spans="1:14">
      <c r="A33" s="15"/>
      <c r="B33" s="15"/>
      <c r="C33" s="15"/>
      <c r="D33" s="15"/>
      <c r="E33" s="12"/>
      <c r="F33" s="12"/>
      <c r="G33" s="12"/>
      <c r="H33" s="12"/>
      <c r="I33" s="12"/>
      <c r="J33" s="12"/>
      <c r="K33" s="12"/>
      <c r="L33" s="12"/>
      <c r="M33" s="12"/>
      <c r="N33" s="12"/>
    </row>
    <row r="34" spans="1:14">
      <c r="A34" s="15"/>
      <c r="B34" s="15"/>
      <c r="C34" s="15"/>
      <c r="D34" s="15"/>
      <c r="E34" s="12"/>
      <c r="F34" s="12"/>
      <c r="G34" s="12"/>
      <c r="H34" s="12"/>
      <c r="I34" s="12"/>
      <c r="J34" s="12"/>
      <c r="K34" s="12"/>
      <c r="L34" s="12"/>
      <c r="M34" s="12"/>
      <c r="N34" s="12"/>
    </row>
    <row r="35" spans="1:14">
      <c r="A35" s="15"/>
      <c r="B35" s="15"/>
      <c r="C35" s="15"/>
      <c r="D35" s="15"/>
      <c r="E35" s="12"/>
      <c r="F35" s="12"/>
      <c r="G35" s="12"/>
      <c r="H35" s="12"/>
      <c r="I35" s="12"/>
      <c r="J35" s="12"/>
      <c r="K35" s="12"/>
      <c r="L35" s="12"/>
      <c r="M35" s="12"/>
      <c r="N35" s="12"/>
    </row>
    <row r="36" spans="1:14">
      <c r="A36" s="15"/>
      <c r="B36" s="15"/>
      <c r="C36" s="15"/>
      <c r="D36" s="15"/>
      <c r="E36" s="12"/>
      <c r="F36" s="12"/>
      <c r="G36" s="12"/>
      <c r="H36" s="12"/>
      <c r="I36" s="12"/>
      <c r="J36" s="12"/>
      <c r="K36" s="12"/>
      <c r="L36" s="12"/>
      <c r="M36" s="12"/>
      <c r="N36" s="12"/>
    </row>
    <row r="37" spans="1:14">
      <c r="A37" s="15"/>
      <c r="B37" s="15"/>
      <c r="C37" s="15"/>
      <c r="D37" s="15"/>
      <c r="E37" s="12"/>
      <c r="F37" s="12"/>
      <c r="G37" s="12"/>
      <c r="H37" s="12"/>
      <c r="I37" s="12"/>
      <c r="J37" s="12"/>
      <c r="K37" s="12"/>
      <c r="L37" s="12"/>
      <c r="M37" s="12"/>
      <c r="N37" s="12"/>
    </row>
    <row r="38" spans="1:14">
      <c r="A38" s="39"/>
      <c r="B38" s="15"/>
      <c r="C38" s="15"/>
      <c r="D38" s="15"/>
      <c r="E38" s="12"/>
      <c r="F38" s="12"/>
      <c r="G38" s="12"/>
      <c r="H38" s="12"/>
      <c r="I38" s="12"/>
      <c r="J38" s="12"/>
      <c r="K38" s="12"/>
      <c r="L38" s="12"/>
      <c r="M38" s="12"/>
      <c r="N38" s="12"/>
    </row>
    <row r="39" spans="1:14">
      <c r="A39" s="40"/>
    </row>
    <row r="40" spans="1:14">
      <c r="A40" s="3"/>
    </row>
    <row r="41" spans="1:14" ht="15.75">
      <c r="A41" s="1"/>
    </row>
    <row r="42" spans="1:14">
      <c r="A42" s="15"/>
    </row>
    <row r="43" spans="1:14">
      <c r="A43" s="15"/>
    </row>
    <row r="44" spans="1:14">
      <c r="A44" s="15"/>
    </row>
    <row r="45" spans="1:14">
      <c r="A45" s="15"/>
    </row>
    <row r="46" spans="1:14">
      <c r="A46" s="15"/>
    </row>
    <row r="47" spans="1:14">
      <c r="A47" s="18"/>
    </row>
    <row r="48" spans="1:14">
      <c r="A48" s="15"/>
    </row>
    <row r="49" spans="1:1">
      <c r="A49" s="15"/>
    </row>
    <row r="50" spans="1:1">
      <c r="A50" s="15"/>
    </row>
    <row r="51" spans="1:1">
      <c r="A51" s="15"/>
    </row>
    <row r="52" spans="1:1">
      <c r="A52" s="15"/>
    </row>
    <row r="53" spans="1:1">
      <c r="A53" s="15"/>
    </row>
    <row r="54" spans="1:1">
      <c r="A54" s="15"/>
    </row>
    <row r="55" spans="1:1" ht="15.75">
      <c r="A55" s="21"/>
    </row>
    <row r="56" spans="1:1">
      <c r="A56" s="15"/>
    </row>
    <row r="57" spans="1:1">
      <c r="A57" s="15"/>
    </row>
    <row r="58" spans="1:1">
      <c r="A58" s="15"/>
    </row>
    <row r="59" spans="1:1">
      <c r="A59" s="15"/>
    </row>
    <row r="60" spans="1:1">
      <c r="A60" s="15"/>
    </row>
    <row r="61" spans="1:1">
      <c r="A61" s="15"/>
    </row>
    <row r="62" spans="1:1">
      <c r="A62" s="15"/>
    </row>
    <row r="63" spans="1:1">
      <c r="A63" s="15"/>
    </row>
    <row r="64" spans="1:1">
      <c r="A64" s="15"/>
    </row>
    <row r="65" spans="1:1">
      <c r="A65" s="15"/>
    </row>
    <row r="66" spans="1:1">
      <c r="A66" s="15"/>
    </row>
    <row r="67" spans="1:1">
      <c r="A67" s="15"/>
    </row>
    <row r="68" spans="1:1">
      <c r="A68" s="15"/>
    </row>
    <row r="69" spans="1:1">
      <c r="A69" s="15"/>
    </row>
    <row r="70" spans="1:1">
      <c r="A70" s="15"/>
    </row>
    <row r="71" spans="1:1">
      <c r="A71" s="15"/>
    </row>
    <row r="72" spans="1:1">
      <c r="A72" s="15"/>
    </row>
    <row r="73" spans="1:1">
      <c r="A73" s="15"/>
    </row>
    <row r="74" spans="1:1">
      <c r="A74" s="15"/>
    </row>
  </sheetData>
  <autoFilter ref="B4:M21" xr:uid="{00000000-0001-0000-0100-000000000000}">
    <filterColumn colId="8">
      <filters>
        <filter val="In Progress"/>
        <filter val="In Review"/>
        <filter val="PR Raised"/>
        <filter val="Reviewing with SMEs"/>
      </filters>
    </filterColumn>
  </autoFilter>
  <mergeCells count="6">
    <mergeCell ref="A38:A39"/>
    <mergeCell ref="E1:E2"/>
    <mergeCell ref="F1:F2"/>
    <mergeCell ref="B1:B2"/>
    <mergeCell ref="H1:H2"/>
    <mergeCell ref="A1:A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F023A-4875-4785-B422-31126B7EC43E}">
  <dimension ref="A1:D14"/>
  <sheetViews>
    <sheetView workbookViewId="0">
      <selection activeCell="E18" sqref="E18"/>
    </sheetView>
  </sheetViews>
  <sheetFormatPr defaultRowHeight="15"/>
  <cols>
    <col min="1" max="1" width="33.140625" bestFit="1" customWidth="1"/>
    <col min="2" max="2" width="61.85546875" bestFit="1" customWidth="1"/>
    <col min="3" max="3" width="13.7109375" bestFit="1" customWidth="1"/>
    <col min="4" max="4" width="12.28515625" bestFit="1" customWidth="1"/>
  </cols>
  <sheetData>
    <row r="1" spans="1:4" ht="17.25">
      <c r="A1" s="7" t="s">
        <v>102</v>
      </c>
      <c r="B1" s="7" t="s">
        <v>103</v>
      </c>
      <c r="C1" s="7" t="s">
        <v>104</v>
      </c>
      <c r="D1" s="7" t="s">
        <v>25</v>
      </c>
    </row>
    <row r="2" spans="1:4" ht="17.25">
      <c r="A2" s="8" t="s">
        <v>105</v>
      </c>
      <c r="B2" s="8" t="s">
        <v>106</v>
      </c>
      <c r="C2" s="8"/>
      <c r="D2" s="8"/>
    </row>
    <row r="3" spans="1:4" ht="17.25">
      <c r="A3" s="8" t="s">
        <v>105</v>
      </c>
      <c r="B3" s="8" t="s">
        <v>107</v>
      </c>
      <c r="C3" s="8"/>
      <c r="D3" s="8"/>
    </row>
    <row r="4" spans="1:4" ht="17.25">
      <c r="A4" s="8" t="s">
        <v>105</v>
      </c>
      <c r="B4" s="8" t="s">
        <v>108</v>
      </c>
      <c r="C4" s="8"/>
      <c r="D4" s="8"/>
    </row>
    <row r="5" spans="1:4" ht="17.25">
      <c r="A5" s="8" t="s">
        <v>105</v>
      </c>
      <c r="B5" s="8" t="s">
        <v>109</v>
      </c>
      <c r="C5" s="8"/>
      <c r="D5" s="8"/>
    </row>
    <row r="6" spans="1:4" ht="17.25">
      <c r="A6" s="8" t="s">
        <v>105</v>
      </c>
      <c r="B6" s="8" t="s">
        <v>110</v>
      </c>
      <c r="C6" s="8"/>
      <c r="D6" s="8"/>
    </row>
    <row r="7" spans="1:4" ht="17.25">
      <c r="A7" s="8" t="s">
        <v>111</v>
      </c>
      <c r="B7" s="8" t="s">
        <v>112</v>
      </c>
      <c r="C7" s="8" t="s">
        <v>113</v>
      </c>
      <c r="D7" s="8"/>
    </row>
    <row r="8" spans="1:4" ht="17.25">
      <c r="A8" s="8" t="s">
        <v>111</v>
      </c>
      <c r="B8" s="8" t="s">
        <v>114</v>
      </c>
      <c r="C8" s="8" t="s">
        <v>113</v>
      </c>
      <c r="D8" s="8"/>
    </row>
    <row r="9" spans="1:4" ht="17.25">
      <c r="A9" s="8" t="s">
        <v>111</v>
      </c>
      <c r="B9" s="8" t="s">
        <v>115</v>
      </c>
      <c r="C9" s="8" t="s">
        <v>113</v>
      </c>
      <c r="D9" s="8"/>
    </row>
    <row r="10" spans="1:4" ht="17.25">
      <c r="A10" s="8" t="s">
        <v>116</v>
      </c>
      <c r="B10" s="8" t="s">
        <v>117</v>
      </c>
      <c r="C10" s="8"/>
      <c r="D10" s="8"/>
    </row>
    <row r="11" spans="1:4" ht="17.25">
      <c r="A11" s="8" t="s">
        <v>118</v>
      </c>
      <c r="B11" s="8" t="s">
        <v>119</v>
      </c>
      <c r="C11" s="8" t="s">
        <v>113</v>
      </c>
      <c r="D11" s="8"/>
    </row>
    <row r="12" spans="1:4" ht="17.25">
      <c r="A12" s="8" t="s">
        <v>118</v>
      </c>
      <c r="B12" s="8" t="s">
        <v>120</v>
      </c>
      <c r="C12" s="8" t="s">
        <v>113</v>
      </c>
      <c r="D12" s="8"/>
    </row>
    <row r="13" spans="1:4" ht="17.25">
      <c r="A13" s="8" t="s">
        <v>118</v>
      </c>
      <c r="B13" s="8" t="s">
        <v>121</v>
      </c>
      <c r="C13" s="8" t="s">
        <v>113</v>
      </c>
      <c r="D13" s="8"/>
    </row>
    <row r="14" spans="1:4" ht="17.25">
      <c r="A14" s="8" t="s">
        <v>122</v>
      </c>
      <c r="B14" s="8" t="s">
        <v>123</v>
      </c>
      <c r="C14" s="8"/>
      <c r="D14"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922E2066466747B06F5A2CB1EF004C" ma:contentTypeVersion="12" ma:contentTypeDescription="Create a new document." ma:contentTypeScope="" ma:versionID="273c804a40a3007035126c9a1bf407a1">
  <xsd:schema xmlns:xsd="http://www.w3.org/2001/XMLSchema" xmlns:xs="http://www.w3.org/2001/XMLSchema" xmlns:p="http://schemas.microsoft.com/office/2006/metadata/properties" xmlns:ns2="e7e42320-c381-4d5c-a06d-fb941b9287c9" xmlns:ns3="e4cee1ae-901f-403b-af36-81ae1c6bd840" targetNamespace="http://schemas.microsoft.com/office/2006/metadata/properties" ma:root="true" ma:fieldsID="bb522c1fb3d2cea70fe48e17a5d80425" ns2:_="" ns3:_="">
    <xsd:import namespace="e7e42320-c381-4d5c-a06d-fb941b9287c9"/>
    <xsd:import namespace="e4cee1ae-901f-403b-af36-81ae1c6bd8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e42320-c381-4d5c-a06d-fb941b9287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19edae7-b79a-4a5e-b725-af92424e056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cee1ae-901f-403b-af36-81ae1c6bd84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2537be7-019f-49ec-95ad-57224fc3b453}" ma:internalName="TaxCatchAll" ma:showField="CatchAllData" ma:web="e4cee1ae-901f-403b-af36-81ae1c6bd8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7e42320-c381-4d5c-a06d-fb941b9287c9">
      <Terms xmlns="http://schemas.microsoft.com/office/infopath/2007/PartnerControls"/>
    </lcf76f155ced4ddcb4097134ff3c332f>
    <TaxCatchAll xmlns="e4cee1ae-901f-403b-af36-81ae1c6bd840" xsi:nil="true"/>
  </documentManagement>
</p:properties>
</file>

<file path=customXml/itemProps1.xml><?xml version="1.0" encoding="utf-8"?>
<ds:datastoreItem xmlns:ds="http://schemas.openxmlformats.org/officeDocument/2006/customXml" ds:itemID="{829929C3-ADFE-45AD-B3E6-689DC9EAB983}"/>
</file>

<file path=customXml/itemProps2.xml><?xml version="1.0" encoding="utf-8"?>
<ds:datastoreItem xmlns:ds="http://schemas.openxmlformats.org/officeDocument/2006/customXml" ds:itemID="{3E1E1F94-8055-4999-96B8-0A8B49401431}"/>
</file>

<file path=customXml/itemProps3.xml><?xml version="1.0" encoding="utf-8"?>
<ds:datastoreItem xmlns:ds="http://schemas.openxmlformats.org/officeDocument/2006/customXml" ds:itemID="{2C20DDB9-EC38-42CE-848E-128CDF5959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Nicholas Hawk</cp:lastModifiedBy>
  <cp:revision/>
  <dcterms:created xsi:type="dcterms:W3CDTF">2025-09-11T14:18:50Z</dcterms:created>
  <dcterms:modified xsi:type="dcterms:W3CDTF">2026-05-04T17:05:28Z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0x010100E3922E2066466747B06F5A2CB1EF004C</vt:lpwstr>
  </property>
</Properties>
</file>